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lla\Downloads\"/>
    </mc:Choice>
  </mc:AlternateContent>
  <xr:revisionPtr revIDLastSave="0" documentId="13_ncr:1_{4A0F970A-8260-4D2E-87DC-EE3EEE8F9F7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ll Firs" sheetId="1" r:id="rId1"/>
    <sheet name="Alumni Fund" sheetId="2" r:id="rId2"/>
    <sheet name="All Positions" sheetId="3" r:id="rId3"/>
  </sheets>
  <definedNames>
    <definedName name="_xlnm._FilterDatabase" localSheetId="2" hidden="1">'All Positions'!$A$1:$G$40</definedName>
    <definedName name="_xlnm._FilterDatabase" localSheetId="1" hidden="1">'Alumni Fund'!$A$1:$R$19</definedName>
    <definedName name="_xlnm._FilterDatabase" localSheetId="0" hidden="1">'Tall Firs'!$A$1:$A$37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46200.0147685185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Z_8F4ACF9E_E030_4868_93B2_D234B9835EAD_.wvu.FilterData" localSheetId="2" hidden="1">'All Positions'!$A$1:$G$44</definedName>
    <definedName name="Z_8F4ACF9E_E030_4868_93B2_D234B9835EAD_.wvu.FilterData" localSheetId="0" hidden="1">'Tall Firs'!$A$1:$R$63</definedName>
  </definedNames>
  <calcPr calcId="191029"/>
  <customWorkbookViews>
    <customWorkbookView name="Filter 1" guid="{8F4ACF9E-E030-4868-93B2-D234B9835EA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3" l="1"/>
  <c r="E42" i="3"/>
  <c r="B42" i="3"/>
  <c r="E41" i="3"/>
  <c r="B41" i="3"/>
  <c r="E40" i="3"/>
  <c r="F40" i="3" s="1"/>
  <c r="D40" i="3"/>
  <c r="B40" i="3"/>
  <c r="E39" i="3"/>
  <c r="F39" i="3" s="1"/>
  <c r="D39" i="3"/>
  <c r="B39" i="3"/>
  <c r="E38" i="3"/>
  <c r="D38" i="3"/>
  <c r="F38" i="3" s="1"/>
  <c r="B38" i="3"/>
  <c r="E37" i="3"/>
  <c r="F37" i="3" s="1"/>
  <c r="D37" i="3"/>
  <c r="B37" i="3"/>
  <c r="E36" i="3"/>
  <c r="F36" i="3" s="1"/>
  <c r="D36" i="3"/>
  <c r="B36" i="3"/>
  <c r="E35" i="3"/>
  <c r="F35" i="3" s="1"/>
  <c r="D35" i="3"/>
  <c r="B35" i="3"/>
  <c r="E34" i="3"/>
  <c r="F34" i="3" s="1"/>
  <c r="D34" i="3"/>
  <c r="B34" i="3"/>
  <c r="E33" i="3"/>
  <c r="F33" i="3" s="1"/>
  <c r="D33" i="3"/>
  <c r="B33" i="3"/>
  <c r="F32" i="3"/>
  <c r="E32" i="3"/>
  <c r="D32" i="3"/>
  <c r="B32" i="3"/>
  <c r="E31" i="3"/>
  <c r="F31" i="3" s="1"/>
  <c r="D31" i="3"/>
  <c r="B31" i="3"/>
  <c r="E30" i="3"/>
  <c r="D30" i="3"/>
  <c r="B30" i="3"/>
  <c r="E29" i="3"/>
  <c r="F29" i="3" s="1"/>
  <c r="D29" i="3"/>
  <c r="B29" i="3"/>
  <c r="E28" i="3"/>
  <c r="F28" i="3" s="1"/>
  <c r="D28" i="3"/>
  <c r="B28" i="3"/>
  <c r="E27" i="3"/>
  <c r="F27" i="3" s="1"/>
  <c r="D27" i="3"/>
  <c r="B27" i="3"/>
  <c r="E26" i="3"/>
  <c r="F26" i="3" s="1"/>
  <c r="D26" i="3"/>
  <c r="B26" i="3"/>
  <c r="E25" i="3"/>
  <c r="F25" i="3" s="1"/>
  <c r="D25" i="3"/>
  <c r="B25" i="3"/>
  <c r="E24" i="3"/>
  <c r="F24" i="3" s="1"/>
  <c r="D24" i="3"/>
  <c r="B24" i="3"/>
  <c r="F23" i="3"/>
  <c r="E23" i="3"/>
  <c r="D23" i="3"/>
  <c r="B23" i="3"/>
  <c r="E22" i="3"/>
  <c r="D22" i="3"/>
  <c r="F22" i="3" s="1"/>
  <c r="B22" i="3"/>
  <c r="E21" i="3"/>
  <c r="F21" i="3" s="1"/>
  <c r="D21" i="3"/>
  <c r="B21" i="3"/>
  <c r="E20" i="3"/>
  <c r="F20" i="3" s="1"/>
  <c r="D20" i="3"/>
  <c r="B20" i="3"/>
  <c r="E19" i="3"/>
  <c r="F19" i="3" s="1"/>
  <c r="D19" i="3"/>
  <c r="B19" i="3"/>
  <c r="E18" i="3"/>
  <c r="F18" i="3" s="1"/>
  <c r="D18" i="3"/>
  <c r="B18" i="3"/>
  <c r="E17" i="3"/>
  <c r="F17" i="3" s="1"/>
  <c r="D17" i="3"/>
  <c r="B17" i="3"/>
  <c r="E16" i="3"/>
  <c r="F16" i="3" s="1"/>
  <c r="D16" i="3"/>
  <c r="B16" i="3"/>
  <c r="E15" i="3"/>
  <c r="F15" i="3" s="1"/>
  <c r="D15" i="3"/>
  <c r="B15" i="3"/>
  <c r="E14" i="3"/>
  <c r="D14" i="3"/>
  <c r="F14" i="3" s="1"/>
  <c r="B14" i="3"/>
  <c r="E13" i="3"/>
  <c r="F13" i="3" s="1"/>
  <c r="D13" i="3"/>
  <c r="B13" i="3"/>
  <c r="E12" i="3"/>
  <c r="F12" i="3" s="1"/>
  <c r="D12" i="3"/>
  <c r="B12" i="3"/>
  <c r="E11" i="3"/>
  <c r="F11" i="3" s="1"/>
  <c r="D11" i="3"/>
  <c r="B11" i="3"/>
  <c r="E10" i="3"/>
  <c r="F10" i="3" s="1"/>
  <c r="D10" i="3"/>
  <c r="B10" i="3"/>
  <c r="E9" i="3"/>
  <c r="F9" i="3" s="1"/>
  <c r="D9" i="3"/>
  <c r="B9" i="3"/>
  <c r="E8" i="3"/>
  <c r="F8" i="3" s="1"/>
  <c r="D8" i="3"/>
  <c r="B8" i="3"/>
  <c r="E7" i="3"/>
  <c r="F7" i="3" s="1"/>
  <c r="D7" i="3"/>
  <c r="B7" i="3"/>
  <c r="E6" i="3"/>
  <c r="D6" i="3"/>
  <c r="B6" i="3"/>
  <c r="E5" i="3"/>
  <c r="F5" i="3" s="1"/>
  <c r="D5" i="3"/>
  <c r="B5" i="3"/>
  <c r="E4" i="3"/>
  <c r="F4" i="3" s="1"/>
  <c r="D4" i="3"/>
  <c r="B4" i="3"/>
  <c r="F3" i="3"/>
  <c r="E3" i="3"/>
  <c r="D3" i="3"/>
  <c r="B3" i="3"/>
  <c r="E2" i="3"/>
  <c r="F2" i="3" s="1"/>
  <c r="D2" i="3"/>
  <c r="B2" i="3"/>
  <c r="J69" i="2"/>
  <c r="K68" i="2"/>
  <c r="J68" i="2"/>
  <c r="D68" i="2"/>
  <c r="K67" i="2"/>
  <c r="J67" i="2"/>
  <c r="D67" i="2"/>
  <c r="K66" i="2"/>
  <c r="J66" i="2"/>
  <c r="D66" i="2"/>
  <c r="K65" i="2"/>
  <c r="J65" i="2"/>
  <c r="D65" i="2"/>
  <c r="K64" i="2"/>
  <c r="K69" i="2" s="1"/>
  <c r="J64" i="2"/>
  <c r="D64" i="2"/>
  <c r="E53" i="2"/>
  <c r="G53" i="2" s="1"/>
  <c r="E48" i="2"/>
  <c r="E42" i="2"/>
  <c r="G42" i="2" s="1"/>
  <c r="Q38" i="2"/>
  <c r="K37" i="2"/>
  <c r="K36" i="2"/>
  <c r="U33" i="2"/>
  <c r="Q33" i="2"/>
  <c r="K33" i="2"/>
  <c r="M33" i="2" s="1"/>
  <c r="H33" i="2"/>
  <c r="E33" i="2"/>
  <c r="U32" i="2"/>
  <c r="Q32" i="2"/>
  <c r="K32" i="2"/>
  <c r="M32" i="2" s="1"/>
  <c r="H32" i="2"/>
  <c r="G32" i="2" s="1"/>
  <c r="E32" i="2"/>
  <c r="U31" i="2"/>
  <c r="Q31" i="2"/>
  <c r="K31" i="2"/>
  <c r="M31" i="2" s="1"/>
  <c r="G31" i="2"/>
  <c r="E31" i="2"/>
  <c r="K30" i="2"/>
  <c r="M30" i="2" s="1"/>
  <c r="G30" i="2"/>
  <c r="E30" i="2"/>
  <c r="U27" i="2"/>
  <c r="Q27" i="2"/>
  <c r="K27" i="2"/>
  <c r="E27" i="2"/>
  <c r="U26" i="2"/>
  <c r="Q26" i="2"/>
  <c r="K26" i="2"/>
  <c r="E26" i="2"/>
  <c r="U25" i="2"/>
  <c r="Q25" i="2"/>
  <c r="K25" i="2"/>
  <c r="E25" i="2"/>
  <c r="U24" i="2"/>
  <c r="Q24" i="2"/>
  <c r="K24" i="2"/>
  <c r="E24" i="2"/>
  <c r="F15" i="2"/>
  <c r="O13" i="2" s="1"/>
  <c r="E15" i="2"/>
  <c r="G15" i="2" s="1"/>
  <c r="C15" i="2"/>
  <c r="S14" i="2"/>
  <c r="O14" i="2"/>
  <c r="F14" i="2"/>
  <c r="S13" i="2"/>
  <c r="F13" i="2"/>
  <c r="P13" i="2" s="1"/>
  <c r="Q13" i="2" s="1"/>
  <c r="C13" i="2"/>
  <c r="B13" i="2"/>
  <c r="S12" i="2"/>
  <c r="O12" i="2"/>
  <c r="F12" i="2"/>
  <c r="P12" i="2" s="1"/>
  <c r="Q12" i="2" s="1"/>
  <c r="C12" i="2"/>
  <c r="B12" i="2"/>
  <c r="S11" i="2"/>
  <c r="F11" i="2"/>
  <c r="G11" i="2" s="1"/>
  <c r="C11" i="2"/>
  <c r="B11" i="2"/>
  <c r="S10" i="2"/>
  <c r="O10" i="2"/>
  <c r="F10" i="2"/>
  <c r="P10" i="2" s="1"/>
  <c r="Q10" i="2" s="1"/>
  <c r="B10" i="2"/>
  <c r="S9" i="2"/>
  <c r="O9" i="2"/>
  <c r="F9" i="2"/>
  <c r="P9" i="2" s="1"/>
  <c r="Q9" i="2" s="1"/>
  <c r="C9" i="2"/>
  <c r="B9" i="2"/>
  <c r="S8" i="2"/>
  <c r="P8" i="2"/>
  <c r="O8" i="2"/>
  <c r="F8" i="2"/>
  <c r="G8" i="2" s="1"/>
  <c r="C8" i="2"/>
  <c r="B8" i="2"/>
  <c r="S7" i="2"/>
  <c r="O7" i="2"/>
  <c r="F7" i="2"/>
  <c r="C7" i="2"/>
  <c r="B7" i="2"/>
  <c r="S6" i="2"/>
  <c r="O6" i="2"/>
  <c r="F6" i="2"/>
  <c r="C6" i="2"/>
  <c r="B6" i="2"/>
  <c r="S5" i="2"/>
  <c r="Q5" i="2"/>
  <c r="P5" i="2"/>
  <c r="O5" i="2"/>
  <c r="F5" i="2"/>
  <c r="G5" i="2" s="1"/>
  <c r="C5" i="2"/>
  <c r="B5" i="2"/>
  <c r="S4" i="2"/>
  <c r="P4" i="2"/>
  <c r="O4" i="2"/>
  <c r="F4" i="2"/>
  <c r="G4" i="2" s="1"/>
  <c r="C4" i="2"/>
  <c r="B4" i="2"/>
  <c r="S3" i="2"/>
  <c r="O3" i="2"/>
  <c r="F3" i="2"/>
  <c r="P3" i="2" s="1"/>
  <c r="C3" i="2"/>
  <c r="B3" i="2"/>
  <c r="S2" i="2"/>
  <c r="O2" i="2"/>
  <c r="F2" i="2"/>
  <c r="P2" i="2" s="1"/>
  <c r="Q2" i="2" s="1"/>
  <c r="C2" i="2"/>
  <c r="B2" i="2"/>
  <c r="W91" i="1"/>
  <c r="J91" i="1"/>
  <c r="D91" i="1"/>
  <c r="J90" i="1"/>
  <c r="D90" i="1"/>
  <c r="D89" i="1"/>
  <c r="J88" i="1"/>
  <c r="K88" i="1" s="1"/>
  <c r="D88" i="1"/>
  <c r="J87" i="1"/>
  <c r="D87" i="1"/>
  <c r="E81" i="1"/>
  <c r="E71" i="1"/>
  <c r="E70" i="1"/>
  <c r="Q60" i="1"/>
  <c r="K59" i="1"/>
  <c r="K58" i="1"/>
  <c r="K54" i="1"/>
  <c r="M54" i="1" s="1"/>
  <c r="G54" i="1"/>
  <c r="E54" i="1"/>
  <c r="K53" i="1"/>
  <c r="M53" i="1" s="1"/>
  <c r="G53" i="1"/>
  <c r="E53" i="1"/>
  <c r="U52" i="1"/>
  <c r="Q52" i="1"/>
  <c r="K52" i="1"/>
  <c r="M52" i="1" s="1"/>
  <c r="G52" i="1"/>
  <c r="E52" i="1"/>
  <c r="U51" i="1"/>
  <c r="Q51" i="1"/>
  <c r="K51" i="1"/>
  <c r="G51" i="1" s="1"/>
  <c r="E51" i="1"/>
  <c r="K50" i="1"/>
  <c r="M50" i="1" s="1"/>
  <c r="G50" i="1"/>
  <c r="E50" i="1"/>
  <c r="U49" i="1"/>
  <c r="Q49" i="1"/>
  <c r="K49" i="1"/>
  <c r="M49" i="1" s="1"/>
  <c r="E49" i="1"/>
  <c r="U46" i="1"/>
  <c r="Q46" i="1"/>
  <c r="K46" i="1"/>
  <c r="E46" i="1"/>
  <c r="U45" i="1"/>
  <c r="Q45" i="1"/>
  <c r="K45" i="1"/>
  <c r="E45" i="1"/>
  <c r="U44" i="1"/>
  <c r="Q44" i="1"/>
  <c r="K44" i="1"/>
  <c r="E44" i="1"/>
  <c r="U43" i="1"/>
  <c r="Q43" i="1"/>
  <c r="K43" i="1"/>
  <c r="E43" i="1"/>
  <c r="F36" i="1"/>
  <c r="E36" i="1"/>
  <c r="D42" i="3" s="1"/>
  <c r="C36" i="1"/>
  <c r="S34" i="1"/>
  <c r="P34" i="1"/>
  <c r="G34" i="1"/>
  <c r="F34" i="1"/>
  <c r="C34" i="1"/>
  <c r="B34" i="1"/>
  <c r="S33" i="1"/>
  <c r="O33" i="1"/>
  <c r="F33" i="1"/>
  <c r="P33" i="1" s="1"/>
  <c r="Q33" i="1" s="1"/>
  <c r="C33" i="1"/>
  <c r="B33" i="1"/>
  <c r="S32" i="1"/>
  <c r="O32" i="1"/>
  <c r="F32" i="1"/>
  <c r="P32" i="1" s="1"/>
  <c r="C32" i="1"/>
  <c r="B32" i="1"/>
  <c r="S31" i="1"/>
  <c r="F31" i="1"/>
  <c r="P31" i="1" s="1"/>
  <c r="C31" i="1"/>
  <c r="B31" i="1"/>
  <c r="S30" i="1"/>
  <c r="F30" i="1"/>
  <c r="G30" i="1" s="1"/>
  <c r="C30" i="1"/>
  <c r="B30" i="1"/>
  <c r="S29" i="1"/>
  <c r="F29" i="1"/>
  <c r="G29" i="1" s="1"/>
  <c r="C29" i="1"/>
  <c r="B29" i="1"/>
  <c r="S28" i="1"/>
  <c r="F28" i="1"/>
  <c r="P28" i="1" s="1"/>
  <c r="C28" i="1"/>
  <c r="B28" i="1"/>
  <c r="S27" i="1"/>
  <c r="G27" i="1"/>
  <c r="F27" i="1"/>
  <c r="P27" i="1" s="1"/>
  <c r="C27" i="1"/>
  <c r="B27" i="1"/>
  <c r="S26" i="1"/>
  <c r="F26" i="1"/>
  <c r="G26" i="1" s="1"/>
  <c r="C26" i="1"/>
  <c r="B26" i="1"/>
  <c r="S25" i="1"/>
  <c r="F25" i="1"/>
  <c r="P25" i="1" s="1"/>
  <c r="C25" i="1"/>
  <c r="B25" i="1"/>
  <c r="S24" i="1"/>
  <c r="F24" i="1"/>
  <c r="G24" i="1" s="1"/>
  <c r="C24" i="1"/>
  <c r="B24" i="1"/>
  <c r="S23" i="1"/>
  <c r="F23" i="1"/>
  <c r="P23" i="1" s="1"/>
  <c r="C23" i="1"/>
  <c r="B23" i="1"/>
  <c r="S22" i="1"/>
  <c r="P22" i="1"/>
  <c r="F22" i="1"/>
  <c r="G22" i="1" s="1"/>
  <c r="C22" i="1"/>
  <c r="B22" i="1"/>
  <c r="S21" i="1"/>
  <c r="F21" i="1"/>
  <c r="G21" i="1" s="1"/>
  <c r="C21" i="1"/>
  <c r="B21" i="1"/>
  <c r="S20" i="1"/>
  <c r="O20" i="1"/>
  <c r="F20" i="1"/>
  <c r="P20" i="1" s="1"/>
  <c r="C20" i="1"/>
  <c r="B20" i="1"/>
  <c r="S19" i="1"/>
  <c r="P19" i="1"/>
  <c r="J19" i="1"/>
  <c r="F19" i="1"/>
  <c r="G19" i="1" s="1"/>
  <c r="C19" i="1"/>
  <c r="B19" i="1"/>
  <c r="S18" i="1"/>
  <c r="F18" i="1"/>
  <c r="G18" i="1" s="1"/>
  <c r="S17" i="1"/>
  <c r="F17" i="1"/>
  <c r="P17" i="1" s="1"/>
  <c r="C17" i="1"/>
  <c r="B17" i="1"/>
  <c r="S16" i="1"/>
  <c r="F16" i="1"/>
  <c r="G16" i="1" s="1"/>
  <c r="C16" i="1"/>
  <c r="B16" i="1"/>
  <c r="S15" i="1"/>
  <c r="F15" i="1"/>
  <c r="P15" i="1" s="1"/>
  <c r="C15" i="1"/>
  <c r="B15" i="1"/>
  <c r="S14" i="1"/>
  <c r="P14" i="1"/>
  <c r="G14" i="1"/>
  <c r="F14" i="1"/>
  <c r="C14" i="1"/>
  <c r="B14" i="1"/>
  <c r="S13" i="1"/>
  <c r="P13" i="1"/>
  <c r="G13" i="1"/>
  <c r="C13" i="1"/>
  <c r="B13" i="1"/>
  <c r="S12" i="1"/>
  <c r="O12" i="1"/>
  <c r="F12" i="1"/>
  <c r="G12" i="1" s="1"/>
  <c r="C12" i="1"/>
  <c r="B12" i="1"/>
  <c r="S11" i="1"/>
  <c r="P11" i="1"/>
  <c r="F11" i="1"/>
  <c r="G11" i="1" s="1"/>
  <c r="C11" i="1"/>
  <c r="B11" i="1"/>
  <c r="S10" i="1"/>
  <c r="F10" i="1"/>
  <c r="P10" i="1" s="1"/>
  <c r="C10" i="1"/>
  <c r="B10" i="1"/>
  <c r="S9" i="1"/>
  <c r="P9" i="1"/>
  <c r="F9" i="1"/>
  <c r="G9" i="1" s="1"/>
  <c r="C9" i="1"/>
  <c r="B9" i="1"/>
  <c r="S8" i="1"/>
  <c r="O8" i="1"/>
  <c r="G8" i="1"/>
  <c r="F8" i="1"/>
  <c r="P8" i="1" s="1"/>
  <c r="Q8" i="1" s="1"/>
  <c r="C8" i="1"/>
  <c r="B8" i="1"/>
  <c r="S7" i="1"/>
  <c r="F7" i="1"/>
  <c r="P7" i="1" s="1"/>
  <c r="C7" i="1"/>
  <c r="B7" i="1"/>
  <c r="S6" i="1"/>
  <c r="G6" i="1"/>
  <c r="F6" i="1"/>
  <c r="P6" i="1" s="1"/>
  <c r="C6" i="1"/>
  <c r="B6" i="1"/>
  <c r="S5" i="1"/>
  <c r="F5" i="1"/>
  <c r="G5" i="1" s="1"/>
  <c r="C5" i="1"/>
  <c r="B5" i="1"/>
  <c r="S4" i="1"/>
  <c r="F4" i="1"/>
  <c r="G4" i="1" s="1"/>
  <c r="C4" i="1"/>
  <c r="B4" i="1"/>
  <c r="S3" i="1"/>
  <c r="F3" i="1"/>
  <c r="P3" i="1" s="1"/>
  <c r="C3" i="1"/>
  <c r="B3" i="1"/>
  <c r="S2" i="1"/>
  <c r="F2" i="1"/>
  <c r="P2" i="1" s="1"/>
  <c r="C2" i="1"/>
  <c r="B2" i="1"/>
  <c r="G59" i="1" l="1"/>
  <c r="H59" i="1" s="1"/>
  <c r="G58" i="1"/>
  <c r="H58" i="1" s="1"/>
  <c r="G33" i="1"/>
  <c r="R49" i="1"/>
  <c r="G3" i="2"/>
  <c r="Q4" i="2"/>
  <c r="P5" i="1"/>
  <c r="G2" i="1"/>
  <c r="G37" i="1" s="1"/>
  <c r="K9" i="1" s="1"/>
  <c r="U50" i="1" s="1"/>
  <c r="G25" i="1"/>
  <c r="Q32" i="1"/>
  <c r="R32" i="2"/>
  <c r="P16" i="1"/>
  <c r="P21" i="1"/>
  <c r="P26" i="1"/>
  <c r="P4" i="1"/>
  <c r="Q20" i="1"/>
  <c r="P12" i="1"/>
  <c r="Q12" i="1" s="1"/>
  <c r="R52" i="1"/>
  <c r="P11" i="2"/>
  <c r="R31" i="2"/>
  <c r="F30" i="3"/>
  <c r="P18" i="1"/>
  <c r="G49" i="1"/>
  <c r="G33" i="2"/>
  <c r="F6" i="3"/>
  <c r="Q10" i="1"/>
  <c r="Q13" i="1"/>
  <c r="Q28" i="1"/>
  <c r="E76" i="1"/>
  <c r="E65" i="1"/>
  <c r="Q50" i="1"/>
  <c r="R50" i="1" s="1"/>
  <c r="M59" i="1"/>
  <c r="Q25" i="1"/>
  <c r="O34" i="1"/>
  <c r="Q34" i="1" s="1"/>
  <c r="O26" i="1"/>
  <c r="Q26" i="1" s="1"/>
  <c r="O31" i="1"/>
  <c r="Q31" i="1" s="1"/>
  <c r="O24" i="1"/>
  <c r="O18" i="1"/>
  <c r="O9" i="1"/>
  <c r="Q9" i="1" s="1"/>
  <c r="K90" i="1"/>
  <c r="W90" i="1"/>
  <c r="X87" i="1"/>
  <c r="O5" i="1"/>
  <c r="Q5" i="1" s="1"/>
  <c r="G10" i="1"/>
  <c r="O13" i="1"/>
  <c r="O21" i="1"/>
  <c r="G28" i="1"/>
  <c r="G36" i="1"/>
  <c r="R68" i="1" s="1"/>
  <c r="Q8" i="2"/>
  <c r="G7" i="1"/>
  <c r="R87" i="1" s="1"/>
  <c r="G15" i="1"/>
  <c r="P7" i="2"/>
  <c r="Q7" i="2" s="1"/>
  <c r="G7" i="2"/>
  <c r="O2" i="1"/>
  <c r="Q2" i="1" s="1"/>
  <c r="O28" i="1"/>
  <c r="O29" i="1"/>
  <c r="O19" i="1"/>
  <c r="Q19" i="1" s="1"/>
  <c r="E58" i="2"/>
  <c r="E47" i="2"/>
  <c r="Q36" i="2"/>
  <c r="Q37" i="2"/>
  <c r="G10" i="2"/>
  <c r="O7" i="1"/>
  <c r="Q7" i="1" s="1"/>
  <c r="O3" i="1"/>
  <c r="Q3" i="1" s="1"/>
  <c r="G17" i="1"/>
  <c r="E80" i="1" s="1"/>
  <c r="O23" i="1"/>
  <c r="Q23" i="1" s="1"/>
  <c r="P24" i="1"/>
  <c r="O30" i="1"/>
  <c r="G32" i="1"/>
  <c r="K89" i="1"/>
  <c r="J92" i="1"/>
  <c r="Q30" i="2"/>
  <c r="R30" i="2" s="1"/>
  <c r="G14" i="2"/>
  <c r="P14" i="2"/>
  <c r="Q14" i="2" s="1"/>
  <c r="R33" i="2"/>
  <c r="G3" i="1"/>
  <c r="O17" i="1"/>
  <c r="Q17" i="1" s="1"/>
  <c r="G23" i="1"/>
  <c r="B37" i="1"/>
  <c r="R88" i="1" s="1"/>
  <c r="R76" i="1"/>
  <c r="Q3" i="2"/>
  <c r="O22" i="1"/>
  <c r="Q22" i="1" s="1"/>
  <c r="O27" i="1"/>
  <c r="Q27" i="1" s="1"/>
  <c r="M58" i="1"/>
  <c r="X88" i="1"/>
  <c r="X89" i="1"/>
  <c r="F44" i="3"/>
  <c r="G12" i="3" s="1"/>
  <c r="O6" i="1"/>
  <c r="Q6" i="1" s="1"/>
  <c r="O10" i="1"/>
  <c r="O14" i="1"/>
  <c r="Q14" i="1" s="1"/>
  <c r="G20" i="1"/>
  <c r="M51" i="1"/>
  <c r="R51" i="1" s="1"/>
  <c r="B18" i="2"/>
  <c r="O15" i="1"/>
  <c r="Q15" i="1" s="1"/>
  <c r="P29" i="1"/>
  <c r="Q29" i="1" s="1"/>
  <c r="G31" i="1"/>
  <c r="O4" i="1"/>
  <c r="O11" i="1"/>
  <c r="Q11" i="1" s="1"/>
  <c r="O16" i="1"/>
  <c r="O25" i="1"/>
  <c r="P30" i="1"/>
  <c r="Q30" i="1" s="1"/>
  <c r="T68" i="1"/>
  <c r="G81" i="1"/>
  <c r="K87" i="1"/>
  <c r="K91" i="1"/>
  <c r="G2" i="2"/>
  <c r="F42" i="3"/>
  <c r="E55" i="2"/>
  <c r="G6" i="2"/>
  <c r="P6" i="2"/>
  <c r="Q6" i="2" s="1"/>
  <c r="G13" i="2"/>
  <c r="G9" i="2"/>
  <c r="G12" i="2"/>
  <c r="O11" i="2"/>
  <c r="Q11" i="2" s="1"/>
  <c r="E64" i="2"/>
  <c r="D41" i="3"/>
  <c r="F41" i="3" s="1"/>
  <c r="R89" i="1" l="1"/>
  <c r="T51" i="1"/>
  <c r="V51" i="1" s="1"/>
  <c r="Q16" i="1"/>
  <c r="Q21" i="1"/>
  <c r="Q18" i="1"/>
  <c r="R67" i="1"/>
  <c r="T67" i="1" s="1"/>
  <c r="E68" i="1"/>
  <c r="G41" i="3"/>
  <c r="E69" i="1"/>
  <c r="Q4" i="1"/>
  <c r="G80" i="1"/>
  <c r="E91" i="1"/>
  <c r="T87" i="1"/>
  <c r="R90" i="1"/>
  <c r="S88" i="1" s="1"/>
  <c r="S87" i="1"/>
  <c r="T88" i="1"/>
  <c r="G55" i="2"/>
  <c r="E66" i="2"/>
  <c r="G24" i="3"/>
  <c r="T76" i="1"/>
  <c r="G14" i="3"/>
  <c r="G44" i="3"/>
  <c r="G35" i="3"/>
  <c r="G27" i="3"/>
  <c r="K33" i="1"/>
  <c r="K5" i="1"/>
  <c r="G34" i="3"/>
  <c r="G28" i="3"/>
  <c r="L24" i="1"/>
  <c r="M24" i="1" s="1"/>
  <c r="L2" i="1"/>
  <c r="M2" i="1" s="1"/>
  <c r="K18" i="1"/>
  <c r="G13" i="3"/>
  <c r="E54" i="2"/>
  <c r="E43" i="2"/>
  <c r="F20" i="2"/>
  <c r="G16" i="2"/>
  <c r="L13" i="2" s="1"/>
  <c r="M13" i="2" s="1"/>
  <c r="L2" i="2"/>
  <c r="M2" i="2" s="1"/>
  <c r="J58" i="1"/>
  <c r="L33" i="1"/>
  <c r="M33" i="1" s="1"/>
  <c r="G10" i="3"/>
  <c r="G21" i="3"/>
  <c r="K14" i="1"/>
  <c r="K21" i="1"/>
  <c r="F39" i="1"/>
  <c r="L3" i="1"/>
  <c r="M3" i="1" s="1"/>
  <c r="K3" i="1"/>
  <c r="L32" i="1"/>
  <c r="M32" i="1" s="1"/>
  <c r="K32" i="1"/>
  <c r="E79" i="1"/>
  <c r="K25" i="1"/>
  <c r="G4" i="3"/>
  <c r="G11" i="3"/>
  <c r="R79" i="1"/>
  <c r="K11" i="1"/>
  <c r="T52" i="1"/>
  <c r="V52" i="1" s="1"/>
  <c r="E87" i="1"/>
  <c r="G76" i="1"/>
  <c r="L21" i="1"/>
  <c r="M21" i="1" s="1"/>
  <c r="L8" i="1"/>
  <c r="M8" i="1" s="1"/>
  <c r="G6" i="3"/>
  <c r="G15" i="3"/>
  <c r="K92" i="1"/>
  <c r="L13" i="1"/>
  <c r="M13" i="1" s="1"/>
  <c r="K8" i="1"/>
  <c r="E56" i="2"/>
  <c r="G38" i="3"/>
  <c r="K16" i="1"/>
  <c r="L7" i="2"/>
  <c r="M7" i="2" s="1"/>
  <c r="K7" i="2"/>
  <c r="K10" i="1"/>
  <c r="E66" i="1"/>
  <c r="L10" i="1"/>
  <c r="M10" i="1" s="1"/>
  <c r="E77" i="1"/>
  <c r="E46" i="2"/>
  <c r="K27" i="1"/>
  <c r="L11" i="1"/>
  <c r="M11" i="1" s="1"/>
  <c r="K12" i="1"/>
  <c r="G37" i="3"/>
  <c r="G22" i="3"/>
  <c r="G44" i="1"/>
  <c r="H44" i="1" s="1"/>
  <c r="M44" i="1" s="1"/>
  <c r="R44" i="1" s="1"/>
  <c r="T44" i="1" s="1"/>
  <c r="V44" i="1" s="1"/>
  <c r="G46" i="1"/>
  <c r="H46" i="1" s="1"/>
  <c r="M46" i="1" s="1"/>
  <c r="R46" i="1" s="1"/>
  <c r="T46" i="1" s="1"/>
  <c r="V46" i="1" s="1"/>
  <c r="G45" i="1"/>
  <c r="H45" i="1" s="1"/>
  <c r="M45" i="1" s="1"/>
  <c r="R45" i="1" s="1"/>
  <c r="T45" i="1" s="1"/>
  <c r="V45" i="1" s="1"/>
  <c r="G43" i="1"/>
  <c r="H43" i="1" s="1"/>
  <c r="M43" i="1" s="1"/>
  <c r="L34" i="1"/>
  <c r="M34" i="1" s="1"/>
  <c r="L22" i="1"/>
  <c r="M22" i="1" s="1"/>
  <c r="K34" i="1"/>
  <c r="K22" i="1"/>
  <c r="T89" i="1"/>
  <c r="K19" i="1"/>
  <c r="L28" i="1"/>
  <c r="M28" i="1" s="1"/>
  <c r="K28" i="1"/>
  <c r="L6" i="1"/>
  <c r="M6" i="1" s="1"/>
  <c r="G69" i="1"/>
  <c r="T49" i="1"/>
  <c r="V49" i="1" s="1"/>
  <c r="L5" i="1"/>
  <c r="M5" i="1" s="1"/>
  <c r="G32" i="3"/>
  <c r="L31" i="1"/>
  <c r="M31" i="1" s="1"/>
  <c r="K31" i="1"/>
  <c r="G17" i="3"/>
  <c r="K20" i="1"/>
  <c r="E78" i="1"/>
  <c r="L20" i="1"/>
  <c r="M20" i="1" s="1"/>
  <c r="E67" i="1"/>
  <c r="G19" i="3"/>
  <c r="R77" i="1"/>
  <c r="K17" i="1"/>
  <c r="L17" i="1"/>
  <c r="M17" i="1" s="1"/>
  <c r="K2" i="1"/>
  <c r="G40" i="3"/>
  <c r="L15" i="1"/>
  <c r="M15" i="1" s="1"/>
  <c r="K15" i="1"/>
  <c r="L27" i="1"/>
  <c r="M27" i="1" s="1"/>
  <c r="G23" i="3"/>
  <c r="L29" i="1"/>
  <c r="M29" i="1" s="1"/>
  <c r="L19" i="1"/>
  <c r="M19" i="1" s="1"/>
  <c r="T50" i="1"/>
  <c r="V50" i="1" s="1"/>
  <c r="G25" i="3"/>
  <c r="G42" i="3"/>
  <c r="G7" i="3"/>
  <c r="G2" i="3"/>
  <c r="K29" i="1"/>
  <c r="R66" i="1"/>
  <c r="K13" i="1"/>
  <c r="L10" i="2"/>
  <c r="M10" i="2" s="1"/>
  <c r="K10" i="2"/>
  <c r="G33" i="3"/>
  <c r="L7" i="1"/>
  <c r="M7" i="1" s="1"/>
  <c r="K7" i="1"/>
  <c r="K24" i="1"/>
  <c r="J59" i="1"/>
  <c r="K4" i="1"/>
  <c r="L26" i="1"/>
  <c r="M26" i="1" s="1"/>
  <c r="L18" i="1"/>
  <c r="M18" i="1" s="1"/>
  <c r="G64" i="2"/>
  <c r="G18" i="3"/>
  <c r="G39" i="3"/>
  <c r="L25" i="1"/>
  <c r="M25" i="1" s="1"/>
  <c r="L23" i="1"/>
  <c r="M23" i="1" s="1"/>
  <c r="K23" i="1"/>
  <c r="G26" i="3"/>
  <c r="L4" i="1"/>
  <c r="M4" i="1" s="1"/>
  <c r="K26" i="1"/>
  <c r="G30" i="3"/>
  <c r="G9" i="3"/>
  <c r="G65" i="1"/>
  <c r="L14" i="1"/>
  <c r="M14" i="1" s="1"/>
  <c r="G8" i="3"/>
  <c r="G20" i="3"/>
  <c r="E45" i="2"/>
  <c r="G5" i="3"/>
  <c r="G43" i="3"/>
  <c r="G3" i="3"/>
  <c r="E44" i="2"/>
  <c r="G36" i="3"/>
  <c r="R69" i="1"/>
  <c r="G31" i="3"/>
  <c r="M60" i="1"/>
  <c r="R60" i="1" s="1"/>
  <c r="G70" i="1"/>
  <c r="G16" i="3"/>
  <c r="Q24" i="1"/>
  <c r="G29" i="3"/>
  <c r="R78" i="1"/>
  <c r="K30" i="1"/>
  <c r="H36" i="1"/>
  <c r="Q59" i="1"/>
  <c r="Q58" i="1"/>
  <c r="R58" i="1" s="1"/>
  <c r="K6" i="1"/>
  <c r="E57" i="2"/>
  <c r="R65" i="1"/>
  <c r="L12" i="1"/>
  <c r="M12" i="1" s="1"/>
  <c r="L9" i="1"/>
  <c r="M9" i="1" s="1"/>
  <c r="L30" i="1"/>
  <c r="M30" i="1" s="1"/>
  <c r="L16" i="1"/>
  <c r="M16" i="1" s="1"/>
  <c r="K13" i="2" l="1"/>
  <c r="E72" i="1"/>
  <c r="F70" i="1"/>
  <c r="F71" i="1"/>
  <c r="F69" i="1"/>
  <c r="F68" i="1"/>
  <c r="F65" i="1"/>
  <c r="G57" i="2"/>
  <c r="F57" i="2"/>
  <c r="E68" i="2"/>
  <c r="T79" i="1"/>
  <c r="R43" i="1"/>
  <c r="T43" i="1" s="1"/>
  <c r="V43" i="1" s="1"/>
  <c r="M55" i="1"/>
  <c r="L3" i="2"/>
  <c r="M3" i="2" s="1"/>
  <c r="K4" i="2"/>
  <c r="U30" i="2" s="1"/>
  <c r="L4" i="2"/>
  <c r="M4" i="2" s="1"/>
  <c r="L8" i="2"/>
  <c r="M8" i="2" s="1"/>
  <c r="L5" i="2"/>
  <c r="M5" i="2" s="1"/>
  <c r="G18" i="2"/>
  <c r="K8" i="2"/>
  <c r="K5" i="2"/>
  <c r="K3" i="2"/>
  <c r="L11" i="2"/>
  <c r="M11" i="2" s="1"/>
  <c r="K11" i="2"/>
  <c r="E89" i="1"/>
  <c r="G78" i="1"/>
  <c r="K2" i="2"/>
  <c r="G66" i="2"/>
  <c r="F45" i="2"/>
  <c r="S89" i="1"/>
  <c r="S90" i="1" s="1"/>
  <c r="E82" i="1"/>
  <c r="F79" i="1" s="1"/>
  <c r="K6" i="2"/>
  <c r="E49" i="2"/>
  <c r="G43" i="2"/>
  <c r="F43" i="2"/>
  <c r="S69" i="1"/>
  <c r="G87" i="1"/>
  <c r="E65" i="2"/>
  <c r="G54" i="2"/>
  <c r="E59" i="2"/>
  <c r="T78" i="1"/>
  <c r="L12" i="2"/>
  <c r="M12" i="2" s="1"/>
  <c r="G68" i="1"/>
  <c r="F66" i="1"/>
  <c r="G66" i="1"/>
  <c r="E67" i="2"/>
  <c r="F56" i="2"/>
  <c r="K9" i="2"/>
  <c r="K14" i="2"/>
  <c r="G91" i="1"/>
  <c r="G67" i="1"/>
  <c r="F67" i="1"/>
  <c r="T90" i="1"/>
  <c r="U89" i="1" s="1"/>
  <c r="V89" i="1" s="1"/>
  <c r="S59" i="1"/>
  <c r="R59" i="1"/>
  <c r="T59" i="1" s="1"/>
  <c r="T69" i="1"/>
  <c r="G71" i="1"/>
  <c r="T66" i="1"/>
  <c r="S66" i="1"/>
  <c r="G46" i="2"/>
  <c r="F46" i="2"/>
  <c r="L6" i="2"/>
  <c r="M6" i="2" s="1"/>
  <c r="T77" i="1"/>
  <c r="E88" i="1"/>
  <c r="G77" i="1"/>
  <c r="G82" i="1" s="1"/>
  <c r="H81" i="1" s="1"/>
  <c r="E90" i="1"/>
  <c r="G79" i="1"/>
  <c r="T65" i="1"/>
  <c r="R70" i="1"/>
  <c r="S65" i="1"/>
  <c r="G44" i="2"/>
  <c r="F44" i="2"/>
  <c r="K12" i="2"/>
  <c r="F40" i="1"/>
  <c r="L9" i="2"/>
  <c r="M9" i="2" s="1"/>
  <c r="L14" i="2"/>
  <c r="M14" i="2" s="1"/>
  <c r="R80" i="1"/>
  <c r="S76" i="1" s="1"/>
  <c r="F77" i="1" l="1"/>
  <c r="S77" i="1"/>
  <c r="S78" i="1"/>
  <c r="S79" i="1"/>
  <c r="M15" i="2"/>
  <c r="U87" i="1"/>
  <c r="V87" i="1" s="1"/>
  <c r="M20" i="2"/>
  <c r="T70" i="1"/>
  <c r="U65" i="1" s="1"/>
  <c r="G68" i="2"/>
  <c r="U78" i="1"/>
  <c r="H79" i="1"/>
  <c r="F53" i="2"/>
  <c r="F55" i="2"/>
  <c r="F58" i="2"/>
  <c r="G90" i="1"/>
  <c r="F54" i="2"/>
  <c r="F72" i="1"/>
  <c r="G83" i="1"/>
  <c r="F82" i="1"/>
  <c r="F81" i="1"/>
  <c r="F76" i="1"/>
  <c r="F80" i="1"/>
  <c r="F21" i="2"/>
  <c r="H80" i="1"/>
  <c r="H77" i="1"/>
  <c r="G65" i="2"/>
  <c r="E69" i="2"/>
  <c r="F78" i="1"/>
  <c r="G26" i="2"/>
  <c r="H26" i="2" s="1"/>
  <c r="M26" i="2" s="1"/>
  <c r="R26" i="2" s="1"/>
  <c r="G25" i="2"/>
  <c r="H25" i="2" s="1"/>
  <c r="M25" i="2" s="1"/>
  <c r="R25" i="2" s="1"/>
  <c r="G24" i="2"/>
  <c r="H24" i="2" s="1"/>
  <c r="M24" i="2" s="1"/>
  <c r="G27" i="2"/>
  <c r="H27" i="2" s="1"/>
  <c r="M27" i="2" s="1"/>
  <c r="R27" i="2" s="1"/>
  <c r="K15" i="2"/>
  <c r="V32" i="2"/>
  <c r="V31" i="2"/>
  <c r="H15" i="2"/>
  <c r="S37" i="2"/>
  <c r="V33" i="2"/>
  <c r="V30" i="2"/>
  <c r="U88" i="1"/>
  <c r="V88" i="1" s="1"/>
  <c r="G88" i="1"/>
  <c r="F88" i="1"/>
  <c r="H68" i="1"/>
  <c r="E92" i="1"/>
  <c r="F48" i="2"/>
  <c r="F42" i="2"/>
  <c r="F47" i="2"/>
  <c r="H78" i="1"/>
  <c r="S80" i="1"/>
  <c r="S68" i="1"/>
  <c r="S67" i="1"/>
  <c r="S70" i="1" s="1"/>
  <c r="T80" i="1"/>
  <c r="U76" i="1" s="1"/>
  <c r="H76" i="1"/>
  <c r="G72" i="1"/>
  <c r="H67" i="1" s="1"/>
  <c r="G89" i="1"/>
  <c r="F89" i="1"/>
  <c r="U66" i="1" l="1"/>
  <c r="U77" i="1"/>
  <c r="U69" i="1"/>
  <c r="V27" i="2"/>
  <c r="H82" i="1"/>
  <c r="V25" i="2"/>
  <c r="V26" i="2"/>
  <c r="F59" i="2"/>
  <c r="F64" i="2"/>
  <c r="F66" i="2"/>
  <c r="F65" i="2"/>
  <c r="H65" i="1"/>
  <c r="H69" i="1"/>
  <c r="H70" i="1"/>
  <c r="M34" i="2"/>
  <c r="R24" i="2"/>
  <c r="G45" i="2"/>
  <c r="G56" i="2"/>
  <c r="H66" i="1"/>
  <c r="F68" i="2"/>
  <c r="G92" i="1"/>
  <c r="H89" i="1" s="1"/>
  <c r="I89" i="1" s="1"/>
  <c r="F49" i="2"/>
  <c r="U90" i="1"/>
  <c r="F67" i="2"/>
  <c r="U79" i="1"/>
  <c r="U80" i="1" s="1"/>
  <c r="H71" i="1"/>
  <c r="F91" i="1"/>
  <c r="F87" i="1"/>
  <c r="F90" i="1"/>
  <c r="G67" i="2"/>
  <c r="U68" i="1"/>
  <c r="U67" i="1"/>
  <c r="U70" i="1" s="1"/>
  <c r="H88" i="1" l="1"/>
  <c r="I88" i="1" s="1"/>
  <c r="G69" i="2"/>
  <c r="G93" i="1"/>
  <c r="H91" i="1"/>
  <c r="I91" i="1" s="1"/>
  <c r="H87" i="1"/>
  <c r="F69" i="2"/>
  <c r="F92" i="1"/>
  <c r="G37" i="2"/>
  <c r="H37" i="2" s="1"/>
  <c r="G36" i="2"/>
  <c r="H36" i="2" s="1"/>
  <c r="H72" i="1"/>
  <c r="H90" i="1"/>
  <c r="I90" i="1" s="1"/>
  <c r="M36" i="2" l="1"/>
  <c r="J36" i="2"/>
  <c r="I87" i="1"/>
  <c r="H92" i="1"/>
  <c r="M37" i="2"/>
  <c r="R37" i="2" s="1"/>
  <c r="T37" i="2" s="1"/>
  <c r="J37" i="2"/>
  <c r="G70" i="2"/>
  <c r="H64" i="2"/>
  <c r="H66" i="2"/>
  <c r="I66" i="2" s="1"/>
  <c r="H65" i="2"/>
  <c r="I65" i="2" s="1"/>
  <c r="H68" i="2"/>
  <c r="I68" i="2" s="1"/>
  <c r="H67" i="2"/>
  <c r="I67" i="2" s="1"/>
  <c r="I64" i="2" l="1"/>
  <c r="H69" i="2"/>
  <c r="M38" i="2"/>
  <c r="R38" i="2" s="1"/>
  <c r="G48" i="2" s="1"/>
  <c r="R36" i="2"/>
  <c r="G47" i="2"/>
  <c r="G58" i="2"/>
  <c r="T33" i="2"/>
  <c r="T32" i="2"/>
  <c r="T31" i="2"/>
  <c r="T30" i="2"/>
  <c r="T27" i="2"/>
  <c r="T26" i="2"/>
  <c r="T25" i="2"/>
  <c r="T24" i="2"/>
  <c r="V24" i="2" s="1"/>
  <c r="G59" i="2" l="1"/>
  <c r="G49" i="2"/>
  <c r="H48" i="2"/>
  <c r="H42" i="2" l="1"/>
  <c r="H46" i="2"/>
  <c r="H43" i="2"/>
  <c r="H44" i="2"/>
  <c r="H45" i="2"/>
  <c r="H47" i="2"/>
  <c r="H53" i="2"/>
  <c r="H55" i="2"/>
  <c r="H54" i="2"/>
  <c r="G60" i="2"/>
  <c r="H57" i="2"/>
  <c r="H56" i="2"/>
  <c r="H58" i="2"/>
  <c r="H59" i="2" l="1"/>
  <c r="H4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tc={4603149b-27eb-4bf8-bb4f-d73adaeac656}</author>
    <author>tc={c28a7607-4b53-4b99-b913-d0564c590b62}</author>
    <author>tc={54c1cdbe-073d-4545-8aff-c2ee77ca790d}</author>
    <author>tc={2b21dfd5-3a9a-4dbd-889a-ec78b14dcdb4}</author>
    <author>tc={3647de62-781f-43f6-9ad7-1181479ec9aa}</author>
    <author>tc={b5e23fa1-7fac-4c88-b35b-323be37eef16}</author>
    <author>tc={293be520-0eb8-4416-a6ce-61bfb5142bfe}</author>
    <author>tc={7ccb59b0-638b-4ccb-889f-25b1ee06a949}</author>
    <author>tc={c3b01c03-1ef1-4e92-90e4-cce11728469f}</author>
    <author>tc={f802bc2e-e5a3-4d50-87a7-6728a58303d6}</author>
    <author>tc={669ea4d3-7d96-4cdf-beca-ee9ef9dc08c0}</author>
    <author>tc={1d91a018-f1a9-4454-a472-8b054518065d}</author>
    <author>tc={b12c76eb-9780-4727-99de-cd433a2108b1}</author>
    <author>tc={07c7d78c-c6ef-4a8f-89b3-aca852585b2d}</author>
    <author>tc={602b9c21-c928-4b6d-857b-9405c96314e8}</author>
    <author>tc={30451054-e79e-4d58-b7cd-73f5a07d85a5}</author>
  </authors>
  <commentList>
    <comment ref="A1" authorId="0" shapeId="0" xr:uid="{4603149B-27EB-4BF8-BB4F-D73ADAEAC65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Looks like there's and error in the formula. Currently referencing the wrong cells</t>
      </text>
    </comment>
    <comment ref="E40" authorId="1" shapeId="0" xr:uid="{C28A7607-4B53-4B99-B913-D0564C590B6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equity-only investments (excl. cash and ETF)</t>
      </text>
    </comment>
    <comment ref="D42" authorId="2" shapeId="0" xr:uid="{54C1CDBE-073D-4545-8AFF-C2EE77CA790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sector of company from drop down</t>
      </text>
    </comment>
    <comment ref="E42" authorId="3" shapeId="0" xr:uid="{2B21DFD5-3A9A-4DBD-889A-EC78B14DCDB4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autocalculates with formula</t>
      </text>
    </comment>
    <comment ref="F42" authorId="4" shapeId="0" xr:uid="{3647DE62-781F-43F6-9AD7-1181479EC9AA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ticker symbol of company</t>
      </text>
    </comment>
    <comment ref="J42" authorId="5" shapeId="0" xr:uid="{B5E23FA1-7FAC-4C88-B35B-323BE37EEF16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excl. cash and ETF
Reply:
    enter estimated % of portfolio equities new position should make up</t>
      </text>
    </comment>
    <comment ref="S42" authorId="6" shapeId="0" xr:uid="{293BE520-0EB8-4416-A6CE-61BFB5142BFE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passive weight of company in IWV ETF: https://www.ishares.com/us/products/239714/ishares-russell-3000-etf</t>
      </text>
    </comment>
    <comment ref="J48" authorId="7" shapeId="0" xr:uid="{7CCB59B0-638B-4CCB-889F-25B1EE06A949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what % of current position should be sold</t>
      </text>
    </comment>
    <comment ref="J87" authorId="8" shapeId="0" xr:uid="{C3B01C03-1EF1-4E92-90E4-CCE11728469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consumer staples + consumer discretionary</t>
      </text>
    </comment>
    <comment ref="J88" authorId="9" shapeId="0" xr:uid="{F802BC2E-E5A3-4D50-87A7-6728A58303D6}">
      <text>
        <t>[Threaded comment]
Your version of Excel allows you to read this threaded comment; however, any edits to it will get removed if the file is opened in a newer version of Excel. Learn more: https://go.microsoft.com/fwlink/?linkid=870924
Comment:
    industrials + materials + energy + utilities</t>
      </text>
    </comment>
    <comment ref="W88" authorId="10" shapeId="0" xr:uid="{669EA4D3-7D96-4CDF-BECA-EE9EF9DC08C0}">
      <text>
        <t>[Threaded comment]
Your version of Excel allows you to read this threaded comment; however, any edits to it will get removed if the file is opened in a newer version of Excel. Learn more: https://go.microsoft.com/fwlink/?linkid=870924
Comment:
    small cap + micro cap</t>
      </text>
    </comment>
    <comment ref="W89" authorId="11" shapeId="0" xr:uid="{1D91A018-F1A9-4454-A472-8B054518065D}">
      <text>
        <t>[Threaded comment]
Your version of Excel allows you to read this threaded comment; however, any edits to it will get removed if the file is opened in a newer version of Excel. Learn more: https://go.microsoft.com/fwlink/?linkid=870924
Comment:
    large cap + mega cap</t>
      </text>
    </comment>
    <comment ref="J90" authorId="12" shapeId="0" xr:uid="{B12C76EB-9780-4727-99DE-CD433A2108B1}">
      <text>
        <t>[Threaded comment]
Your version of Excel allows you to read this threaded comment; however, any edits to it will get removed if the file is opened in a newer version of Excel. Learn more: https://go.microsoft.com/fwlink/?linkid=870924
Comment:
    technology + communications</t>
      </text>
    </comment>
    <comment ref="W90" authorId="13" shapeId="0" xr:uid="{07C7D78C-C6EF-4A8F-89B3-ACA852585B2D}">
      <text>
        <t>[Threaded comment]
Your version of Excel allows you to read this threaded comment; however, any edits to it will get removed if the file is opened in a newer version of Excel. Learn more: https://go.microsoft.com/fwlink/?linkid=870924
Comment:
    ETF Index cash balance</t>
      </text>
    </comment>
    <comment ref="J91" authorId="14" shapeId="0" xr:uid="{602B9C21-C928-4B6D-857B-9405C96314E8}">
      <text>
        <t>[Threaded comment]
Your version of Excel allows you to read this threaded comment; however, any edits to it will get removed if the file is opened in a newer version of Excel. Learn more: https://go.microsoft.com/fwlink/?linkid=870924
Comment:
    financials + real estate</t>
      </text>
    </comment>
    <comment ref="J92" authorId="15" shapeId="0" xr:uid="{30451054-E79E-4D58-B7CD-73F5A07D85A5}">
      <text>
        <t>[Threaded comment]
Your version of Excel allows you to read this threaded comment; however, any edits to it will get removed if the file is opened in a newer version of Excel. Learn more: https://go.microsoft.com/fwlink/?linkid=870924
Comment:
    ETF cash allocation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tc={e5e18454-a7ab-4047-a2b9-b36c218409a8}</author>
    <author>tc={ba30359f-1169-45b8-8a66-9ed3c4db6057}</author>
  </authors>
  <commentList>
    <comment ref="J23" authorId="0" shapeId="0" xr:uid="{E5E18454-A7AB-4047-A2B9-B36C218409A8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excl. cash and ETF</t>
      </text>
    </comment>
    <comment ref="S23" authorId="1" shapeId="0" xr:uid="{BA30359F-1169-45B8-8A66-9ED3C4DB6057}">
      <text>
        <t>[Threaded comment]
Your version of Excel allows you to read this threaded comment; however, any edits to it will get removed if the file is opened in a newer version of Excel. Learn more: https://go.microsoft.com/fwlink/?linkid=870924
Comment:
    passive weight in IWM ETF: https://www.ishares.com/us/products/239710/ishares-russell-2000-etf</t>
      </text>
    </comment>
  </commentList>
</comments>
</file>

<file path=xl/sharedStrings.xml><?xml version="1.0" encoding="utf-8"?>
<sst xmlns="http://schemas.openxmlformats.org/spreadsheetml/2006/main" count="480" uniqueCount="167">
  <si>
    <t>Capitalization</t>
  </si>
  <si>
    <t>Name</t>
  </si>
  <si>
    <t>Ticker</t>
  </si>
  <si>
    <t>Shares</t>
  </si>
  <si>
    <t>Price</t>
  </si>
  <si>
    <t>Market Value</t>
  </si>
  <si>
    <t>Last Update Price</t>
  </si>
  <si>
    <t>Last Update Date</t>
  </si>
  <si>
    <t>Passive Weight</t>
  </si>
  <si>
    <t>Class Weight</t>
  </si>
  <si>
    <t>Portfolio Weight</t>
  </si>
  <si>
    <t>Active Weight</t>
  </si>
  <si>
    <t>Last Update ETF Price</t>
  </si>
  <si>
    <t>Market Return Since Update</t>
  </si>
  <si>
    <t>Return Since Update</t>
  </si>
  <si>
    <t>Excess Return Since Update</t>
  </si>
  <si>
    <t>Update Status</t>
  </si>
  <si>
    <t>Days Since Update</t>
  </si>
  <si>
    <t>TMT</t>
  </si>
  <si>
    <t>AAPL</t>
  </si>
  <si>
    <t>Winter 24</t>
  </si>
  <si>
    <t>ACIW</t>
  </si>
  <si>
    <t>Consumer</t>
  </si>
  <si>
    <t>AMZN</t>
  </si>
  <si>
    <t>AVGO</t>
  </si>
  <si>
    <t>BG</t>
  </si>
  <si>
    <t>BILL</t>
  </si>
  <si>
    <t>Financial</t>
  </si>
  <si>
    <t>BRK.B</t>
  </si>
  <si>
    <t>C</t>
  </si>
  <si>
    <t>IME</t>
  </si>
  <si>
    <t>CACI</t>
  </si>
  <si>
    <t>CSCO</t>
  </si>
  <si>
    <t>CTVA</t>
  </si>
  <si>
    <t>Healthcare</t>
  </si>
  <si>
    <t>CVS</t>
  </si>
  <si>
    <t>CVX</t>
  </si>
  <si>
    <t>DAL</t>
  </si>
  <si>
    <t>Spring 25</t>
  </si>
  <si>
    <t>DG</t>
  </si>
  <si>
    <t>EVR</t>
  </si>
  <si>
    <t>Large Cap</t>
  </si>
  <si>
    <t>General Dynamics Corporation</t>
  </si>
  <si>
    <t>GD</t>
  </si>
  <si>
    <t>GOOGL</t>
  </si>
  <si>
    <t>IQV</t>
  </si>
  <si>
    <t>KEX</t>
  </si>
  <si>
    <t>MCK</t>
  </si>
  <si>
    <t>MSFT</t>
  </si>
  <si>
    <t>NCNO</t>
  </si>
  <si>
    <t>NEE</t>
  </si>
  <si>
    <t>OMC</t>
  </si>
  <si>
    <t>PFE</t>
  </si>
  <si>
    <t>REGN</t>
  </si>
  <si>
    <t>SJM</t>
  </si>
  <si>
    <t>SPGI</t>
  </si>
  <si>
    <t>SW</t>
  </si>
  <si>
    <t>TWLO</t>
  </si>
  <si>
    <t>UHS</t>
  </si>
  <si>
    <t>UMBF</t>
  </si>
  <si>
    <t>Cash</t>
  </si>
  <si>
    <t>BGNXX</t>
  </si>
  <si>
    <t>Index</t>
  </si>
  <si>
    <t>Index ETF</t>
  </si>
  <si>
    <t>IWV</t>
  </si>
  <si>
    <t>Total</t>
  </si>
  <si>
    <t>Holdings #</t>
  </si>
  <si>
    <t>Last Updated</t>
  </si>
  <si>
    <t>avg. position size</t>
  </si>
  <si>
    <t xml:space="preserve"> </t>
  </si>
  <si>
    <t>avg. class allocation</t>
  </si>
  <si>
    <t>Sector</t>
  </si>
  <si>
    <t>Mkt. Cap</t>
  </si>
  <si>
    <t>New positions</t>
  </si>
  <si>
    <t>Estimate</t>
  </si>
  <si>
    <t>% of portfolio equities</t>
  </si>
  <si>
    <t>Share Price</t>
  </si>
  <si>
    <t>Transaction</t>
  </si>
  <si>
    <t>Current Position</t>
  </si>
  <si>
    <t>New Position</t>
  </si>
  <si>
    <t>New Class Weight</t>
  </si>
  <si>
    <t>Old Active Weight</t>
  </si>
  <si>
    <t>New Active Weight</t>
  </si>
  <si>
    <t>Equities to Be Sold</t>
  </si>
  <si>
    <t>% of current position</t>
  </si>
  <si>
    <t>Ending Postion</t>
  </si>
  <si>
    <t>HTLF</t>
  </si>
  <si>
    <t>ABM</t>
  </si>
  <si>
    <t>WRK</t>
  </si>
  <si>
    <t>PRIM</t>
  </si>
  <si>
    <t>VMC</t>
  </si>
  <si>
    <t>Net Cash Outflow (Inflow)</t>
  </si>
  <si>
    <t>Current ETF Position</t>
  </si>
  <si>
    <t>New ETF Position</t>
  </si>
  <si>
    <t>ETF to Be Sold</t>
  </si>
  <si>
    <t>ETF to Be Bought</t>
  </si>
  <si>
    <t>Excess Cash From Transaction</t>
  </si>
  <si>
    <t>Sector Allocations</t>
  </si>
  <si>
    <t>Market Cap Allocations</t>
  </si>
  <si>
    <t>Total Portfolio</t>
  </si>
  <si>
    <t>Post-Allocation</t>
  </si>
  <si>
    <t>Current Mkt. Value</t>
  </si>
  <si>
    <t>Current Allocation</t>
  </si>
  <si>
    <t>New Mkt. Value</t>
  </si>
  <si>
    <t>New Allocation</t>
  </si>
  <si>
    <t>Mid Cap</t>
  </si>
  <si>
    <t>Small Cap</t>
  </si>
  <si>
    <t>Equity-Only</t>
  </si>
  <si>
    <t>Allocation</t>
  </si>
  <si>
    <t>$ Change in equity position:</t>
  </si>
  <si>
    <t>Equity (excl. ETF)</t>
  </si>
  <si>
    <t>Post Allocation</t>
  </si>
  <si>
    <t>Delta from Index</t>
  </si>
  <si>
    <t>Index (incl. cash)</t>
  </si>
  <si>
    <t>Index (excl. cash)</t>
  </si>
  <si>
    <t>$ Change in non-ETF equity position</t>
  </si>
  <si>
    <t>Positive Delta = Overweight</t>
  </si>
  <si>
    <t>Negative Delta = Underweight</t>
  </si>
  <si>
    <t>AGX</t>
  </si>
  <si>
    <t>AX</t>
  </si>
  <si>
    <t>Winter 24?</t>
  </si>
  <si>
    <t>BLBD</t>
  </si>
  <si>
    <t>CON</t>
  </si>
  <si>
    <t>CPRX</t>
  </si>
  <si>
    <t>CTRE</t>
  </si>
  <si>
    <t>FOR</t>
  </si>
  <si>
    <t>LEU</t>
  </si>
  <si>
    <t>Omnicell, Inc.</t>
  </si>
  <si>
    <t>OMCL</t>
  </si>
  <si>
    <t>PRGS</t>
  </si>
  <si>
    <t>SEM</t>
  </si>
  <si>
    <t>Workiva Inc</t>
  </si>
  <si>
    <t>WK</t>
  </si>
  <si>
    <t>IWM</t>
  </si>
  <si>
    <t>Equity Values</t>
  </si>
  <si>
    <t>BNGXX</t>
  </si>
  <si>
    <t>avg. allocation</t>
  </si>
  <si>
    <t>Mkt Cap</t>
  </si>
  <si>
    <t>Transaction Amount</t>
  </si>
  <si>
    <t>&lt;- takes down to 8% 150 takes it to 7.24%</t>
  </si>
  <si>
    <t>&lt;- takes to 5.89%</t>
  </si>
  <si>
    <t>$ Change in non-ETF equity position:</t>
  </si>
  <si>
    <t>Weight</t>
  </si>
  <si>
    <t>RTX</t>
  </si>
  <si>
    <t>MU</t>
  </si>
  <si>
    <t>PYPL</t>
  </si>
  <si>
    <t>VMW</t>
  </si>
  <si>
    <t>DIS</t>
  </si>
  <si>
    <t>MLKN</t>
  </si>
  <si>
    <t>WBA</t>
  </si>
  <si>
    <t>V</t>
  </si>
  <si>
    <t>AVTA</t>
  </si>
  <si>
    <t>LKQ</t>
  </si>
  <si>
    <t>TER</t>
  </si>
  <si>
    <t>SEDG</t>
  </si>
  <si>
    <t>JBL</t>
  </si>
  <si>
    <t>FNMA</t>
  </si>
  <si>
    <t>F</t>
  </si>
  <si>
    <t>IDCC</t>
  </si>
  <si>
    <t>UMH</t>
  </si>
  <si>
    <t>RGR</t>
  </si>
  <si>
    <t>OTIS</t>
  </si>
  <si>
    <t>VTRS</t>
  </si>
  <si>
    <t>CALM</t>
  </si>
  <si>
    <t>Index ETF (Alumni)</t>
  </si>
  <si>
    <t>Index ETF (Tall Firs)</t>
  </si>
  <si>
    <t>Total AUM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</si>
</sst>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m/dd/yyyy"/>
    <numFmt numFmtId="166" formatCode="&quot;$&quot;#,##0"/>
  </numFmts>
  <fonts count="14">
    <font>
      <sz val="10"/>
      <color rgb="FF000000"/>
      <name val="Arial"/>
    </font>
    <font>
      <sz val="9"/>
      <color rgb="FFFFFFFF"/>
      <name val="Times New Roman"/>
    </font>
    <font>
      <sz val="10"/>
      <name val="&quot;Times New Roman&quot;"/>
    </font>
    <font>
      <sz val="9"/>
      <name val="Arial"/>
    </font>
    <font>
      <sz val="9"/>
      <name val="Times New Roman"/>
    </font>
    <font>
      <sz val="9"/>
      <name val="&quot;Times New Roman&quot;"/>
    </font>
    <font>
      <sz val="10"/>
      <color rgb="FF000000"/>
      <name val="&quot;Times New Roman&quot;"/>
    </font>
    <font>
      <b/>
      <sz val="9"/>
      <name val="Times New Roman"/>
    </font>
    <font>
      <sz val="10"/>
      <name val="Times New Roman"/>
    </font>
    <font>
      <sz val="10"/>
      <name val="Arial"/>
    </font>
    <font>
      <i/>
      <sz val="9"/>
      <name val="Times New Roman"/>
    </font>
    <font>
      <sz val="9"/>
      <color rgb="FFFFFFFF"/>
      <name val="Arial"/>
    </font>
    <font>
      <sz val="9"/>
      <color rgb="FF000000"/>
      <name val="Times New Roman"/>
    </font>
    <font>
      <b/>
      <i/>
      <sz val="9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006125"/>
        <bgColor rgb="FF00612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CC4125"/>
        <bgColor rgb="FFCC4125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3" borderId="0" xfId="0" applyFont="1" applyFill="1"/>
    <xf numFmtId="0" fontId="3" fillId="0" borderId="0" xfId="0" applyFont="1"/>
    <xf numFmtId="0" fontId="4" fillId="0" borderId="5" xfId="0" applyFont="1" applyBorder="1" applyAlignment="1">
      <alignment horizontal="center"/>
    </xf>
    <xf numFmtId="4" fontId="4" fillId="0" borderId="3" xfId="0" applyNumberFormat="1" applyFont="1" applyBorder="1" applyAlignment="1">
      <alignment horizontal="center"/>
    </xf>
    <xf numFmtId="0" fontId="5" fillId="0" borderId="3" xfId="0" applyFont="1" applyBorder="1"/>
    <xf numFmtId="3" fontId="5" fillId="3" borderId="0" xfId="0" applyNumberFormat="1" applyFont="1" applyFill="1"/>
    <xf numFmtId="164" fontId="4" fillId="0" borderId="3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0" fontId="4" fillId="4" borderId="3" xfId="0" applyNumberFormat="1" applyFont="1" applyFill="1" applyBorder="1" applyAlignment="1">
      <alignment horizontal="center"/>
    </xf>
    <xf numFmtId="10" fontId="4" fillId="0" borderId="3" xfId="0" applyNumberFormat="1" applyFont="1" applyBorder="1" applyAlignment="1">
      <alignment horizontal="center"/>
    </xf>
    <xf numFmtId="10" fontId="4" fillId="0" borderId="0" xfId="0" applyNumberFormat="1" applyFont="1" applyAlignment="1">
      <alignment horizontal="center"/>
    </xf>
    <xf numFmtId="0" fontId="2" fillId="5" borderId="6" xfId="0" applyFont="1" applyFill="1" applyBorder="1"/>
    <xf numFmtId="0" fontId="2" fillId="3" borderId="0" xfId="0" applyFont="1" applyFill="1" applyAlignment="1">
      <alignment horizontal="right"/>
    </xf>
    <xf numFmtId="164" fontId="6" fillId="0" borderId="0" xfId="0" applyNumberFormat="1" applyFont="1" applyAlignment="1">
      <alignment horizontal="right"/>
    </xf>
    <xf numFmtId="0" fontId="5" fillId="0" borderId="7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5" fillId="0" borderId="0" xfId="0" applyFont="1"/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0" fontId="4" fillId="4" borderId="0" xfId="0" applyNumberFormat="1" applyFont="1" applyFill="1" applyAlignment="1">
      <alignment horizontal="center"/>
    </xf>
    <xf numFmtId="0" fontId="2" fillId="3" borderId="6" xfId="0" applyFont="1" applyFill="1" applyBorder="1"/>
    <xf numFmtId="14" fontId="4" fillId="0" borderId="0" xfId="0" applyNumberFormat="1" applyFont="1" applyAlignment="1">
      <alignment horizontal="center"/>
    </xf>
    <xf numFmtId="3" fontId="2" fillId="3" borderId="0" xfId="0" applyNumberFormat="1" applyFont="1" applyFill="1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6" borderId="6" xfId="0" applyFont="1" applyFill="1" applyBorder="1"/>
    <xf numFmtId="0" fontId="5" fillId="7" borderId="0" xfId="0" applyFont="1" applyFill="1"/>
    <xf numFmtId="0" fontId="4" fillId="0" borderId="6" xfId="0" applyFont="1" applyBorder="1" applyAlignment="1">
      <alignment horizontal="center"/>
    </xf>
    <xf numFmtId="164" fontId="4" fillId="3" borderId="0" xfId="0" applyNumberFormat="1" applyFont="1" applyFill="1" applyAlignment="1">
      <alignment horizontal="center"/>
    </xf>
    <xf numFmtId="14" fontId="4" fillId="3" borderId="0" xfId="0" applyNumberFormat="1" applyFont="1" applyFill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3" fontId="6" fillId="0" borderId="0" xfId="0" applyNumberFormat="1" applyFont="1" applyAlignment="1">
      <alignment horizontal="right"/>
    </xf>
    <xf numFmtId="10" fontId="4" fillId="4" borderId="8" xfId="0" applyNumberFormat="1" applyFont="1" applyFill="1" applyBorder="1" applyAlignment="1">
      <alignment horizontal="center"/>
    </xf>
    <xf numFmtId="0" fontId="2" fillId="3" borderId="4" xfId="0" applyFont="1" applyFill="1" applyBorder="1"/>
    <xf numFmtId="0" fontId="5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2" fillId="3" borderId="6" xfId="0" applyNumberFormat="1" applyFont="1" applyFill="1" applyBorder="1" applyAlignment="1">
      <alignment horizontal="right"/>
    </xf>
    <xf numFmtId="4" fontId="5" fillId="3" borderId="0" xfId="0" applyNumberFormat="1" applyFont="1" applyFill="1"/>
    <xf numFmtId="166" fontId="4" fillId="0" borderId="0" xfId="0" applyNumberFormat="1" applyFont="1" applyAlignment="1">
      <alignment horizontal="center"/>
    </xf>
    <xf numFmtId="0" fontId="7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3" borderId="8" xfId="0" applyFont="1" applyFill="1" applyBorder="1"/>
    <xf numFmtId="166" fontId="7" fillId="8" borderId="8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right"/>
    </xf>
    <xf numFmtId="3" fontId="3" fillId="0" borderId="0" xfId="0" applyNumberFormat="1" applyFont="1"/>
    <xf numFmtId="14" fontId="8" fillId="9" borderId="0" xfId="0" applyNumberFormat="1" applyFont="1" applyFill="1"/>
    <xf numFmtId="0" fontId="8" fillId="9" borderId="0" xfId="0" applyFont="1" applyFill="1"/>
    <xf numFmtId="0" fontId="7" fillId="0" borderId="0" xfId="0" applyFont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166" fontId="4" fillId="0" borderId="3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0" fontId="4" fillId="10" borderId="5" xfId="0" applyNumberFormat="1" applyFont="1" applyFill="1" applyBorder="1" applyAlignment="1">
      <alignment horizontal="center"/>
    </xf>
    <xf numFmtId="10" fontId="4" fillId="10" borderId="3" xfId="0" applyNumberFormat="1" applyFont="1" applyFill="1" applyBorder="1" applyAlignment="1">
      <alignment horizontal="center"/>
    </xf>
    <xf numFmtId="10" fontId="4" fillId="8" borderId="3" xfId="0" applyNumberFormat="1" applyFont="1" applyFill="1" applyBorder="1" applyAlignment="1">
      <alignment horizontal="center"/>
    </xf>
    <xf numFmtId="10" fontId="4" fillId="8" borderId="10" xfId="0" applyNumberFormat="1" applyFont="1" applyFill="1" applyBorder="1" applyAlignment="1">
      <alignment horizontal="center"/>
    </xf>
    <xf numFmtId="0" fontId="5" fillId="3" borderId="0" xfId="0" applyFont="1" applyFill="1"/>
    <xf numFmtId="0" fontId="9" fillId="0" borderId="0" xfId="0" applyFont="1"/>
    <xf numFmtId="0" fontId="4" fillId="10" borderId="7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10" fontId="4" fillId="10" borderId="7" xfId="0" applyNumberFormat="1" applyFont="1" applyFill="1" applyBorder="1" applyAlignment="1">
      <alignment horizontal="center"/>
    </xf>
    <xf numFmtId="10" fontId="4" fillId="10" borderId="0" xfId="0" applyNumberFormat="1" applyFont="1" applyFill="1" applyAlignment="1">
      <alignment horizontal="center"/>
    </xf>
    <xf numFmtId="10" fontId="4" fillId="8" borderId="0" xfId="0" applyNumberFormat="1" applyFont="1" applyFill="1" applyAlignment="1">
      <alignment horizontal="center"/>
    </xf>
    <xf numFmtId="10" fontId="4" fillId="8" borderId="6" xfId="0" applyNumberFormat="1" applyFont="1" applyFill="1" applyBorder="1" applyAlignment="1">
      <alignment horizontal="center"/>
    </xf>
    <xf numFmtId="0" fontId="4" fillId="10" borderId="9" xfId="0" applyFont="1" applyFill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166" fontId="4" fillId="0" borderId="8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0" fontId="4" fillId="10" borderId="9" xfId="0" applyNumberFormat="1" applyFont="1" applyFill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10" fontId="4" fillId="10" borderId="8" xfId="0" applyNumberFormat="1" applyFont="1" applyFill="1" applyBorder="1" applyAlignment="1">
      <alignment horizontal="center"/>
    </xf>
    <xf numFmtId="10" fontId="4" fillId="8" borderId="8" xfId="0" applyNumberFormat="1" applyFont="1" applyFill="1" applyBorder="1" applyAlignment="1">
      <alignment horizontal="center"/>
    </xf>
    <xf numFmtId="10" fontId="4" fillId="0" borderId="8" xfId="0" applyNumberFormat="1" applyFont="1" applyBorder="1" applyAlignment="1">
      <alignment horizontal="center"/>
    </xf>
    <xf numFmtId="10" fontId="4" fillId="8" borderId="4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7" xfId="0" applyFont="1" applyBorder="1" applyAlignment="1">
      <alignment horizontal="center"/>
    </xf>
    <xf numFmtId="16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10" fillId="3" borderId="0" xfId="0" applyFont="1" applyFill="1" applyAlignment="1">
      <alignment horizontal="center"/>
    </xf>
    <xf numFmtId="4" fontId="4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9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0" xfId="0" applyFont="1" applyFill="1" applyBorder="1" applyAlignment="1">
      <alignment horizontal="center"/>
    </xf>
    <xf numFmtId="10" fontId="4" fillId="0" borderId="7" xfId="0" applyNumberFormat="1" applyFont="1" applyBorder="1" applyAlignment="1">
      <alignment horizontal="center"/>
    </xf>
    <xf numFmtId="10" fontId="4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0" fontId="4" fillId="0" borderId="2" xfId="0" applyNumberFormat="1" applyFont="1" applyBorder="1" applyAlignment="1">
      <alignment horizontal="center"/>
    </xf>
    <xf numFmtId="10" fontId="4" fillId="0" borderId="1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0" fontId="7" fillId="0" borderId="2" xfId="0" applyNumberFormat="1" applyFont="1" applyBorder="1" applyAlignment="1">
      <alignment horizontal="center"/>
    </xf>
    <xf numFmtId="10" fontId="7" fillId="0" borderId="11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10" fontId="4" fillId="3" borderId="6" xfId="0" applyNumberFormat="1" applyFont="1" applyFill="1" applyBorder="1" applyAlignment="1">
      <alignment horizontal="center"/>
    </xf>
    <xf numFmtId="10" fontId="4" fillId="9" borderId="6" xfId="0" applyNumberFormat="1" applyFont="1" applyFill="1" applyBorder="1" applyAlignment="1">
      <alignment horizontal="center"/>
    </xf>
    <xf numFmtId="10" fontId="4" fillId="3" borderId="5" xfId="0" applyNumberFormat="1" applyFont="1" applyFill="1" applyBorder="1" applyAlignment="1">
      <alignment horizontal="center"/>
    </xf>
    <xf numFmtId="10" fontId="4" fillId="0" borderId="10" xfId="0" applyNumberFormat="1" applyFont="1" applyBorder="1" applyAlignment="1">
      <alignment horizontal="center"/>
    </xf>
    <xf numFmtId="10" fontId="4" fillId="11" borderId="3" xfId="0" applyNumberFormat="1" applyFont="1" applyFill="1" applyBorder="1" applyAlignment="1">
      <alignment horizontal="center"/>
    </xf>
    <xf numFmtId="10" fontId="4" fillId="7" borderId="3" xfId="0" applyNumberFormat="1" applyFont="1" applyFill="1" applyBorder="1" applyAlignment="1">
      <alignment horizontal="center"/>
    </xf>
    <xf numFmtId="10" fontId="4" fillId="3" borderId="7" xfId="0" applyNumberFormat="1" applyFont="1" applyFill="1" applyBorder="1" applyAlignment="1">
      <alignment horizontal="center"/>
    </xf>
    <xf numFmtId="10" fontId="4" fillId="11" borderId="0" xfId="0" applyNumberFormat="1" applyFont="1" applyFill="1" applyAlignment="1">
      <alignment horizontal="center"/>
    </xf>
    <xf numFmtId="10" fontId="4" fillId="7" borderId="0" xfId="0" applyNumberFormat="1" applyFont="1" applyFill="1" applyAlignment="1">
      <alignment horizontal="center"/>
    </xf>
    <xf numFmtId="0" fontId="4" fillId="0" borderId="9" xfId="0" applyFont="1" applyBorder="1" applyAlignment="1">
      <alignment horizontal="center"/>
    </xf>
    <xf numFmtId="10" fontId="4" fillId="11" borderId="8" xfId="0" applyNumberFormat="1" applyFont="1" applyFill="1" applyBorder="1" applyAlignment="1">
      <alignment horizontal="center"/>
    </xf>
    <xf numFmtId="10" fontId="4" fillId="7" borderId="8" xfId="0" applyNumberFormat="1" applyFont="1" applyFill="1" applyBorder="1" applyAlignment="1">
      <alignment horizontal="center"/>
    </xf>
    <xf numFmtId="10" fontId="4" fillId="0" borderId="4" xfId="0" applyNumberFormat="1" applyFont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10" fontId="4" fillId="3" borderId="9" xfId="0" applyNumberFormat="1" applyFont="1" applyFill="1" applyBorder="1" applyAlignment="1">
      <alignment horizontal="center"/>
    </xf>
    <xf numFmtId="10" fontId="11" fillId="0" borderId="0" xfId="0" applyNumberFormat="1" applyFont="1"/>
    <xf numFmtId="10" fontId="12" fillId="0" borderId="9" xfId="0" applyNumberFormat="1" applyFont="1" applyBorder="1" applyAlignment="1">
      <alignment horizontal="center"/>
    </xf>
    <xf numFmtId="10" fontId="12" fillId="0" borderId="4" xfId="0" applyNumberFormat="1" applyFont="1" applyBorder="1" applyAlignment="1">
      <alignment horizontal="center"/>
    </xf>
    <xf numFmtId="0" fontId="4" fillId="0" borderId="0" xfId="0" applyFont="1"/>
    <xf numFmtId="10" fontId="3" fillId="0" borderId="0" xfId="0" applyNumberFormat="1" applyFont="1"/>
    <xf numFmtId="164" fontId="1" fillId="2" borderId="2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0" fontId="12" fillId="3" borderId="0" xfId="0" applyNumberFormat="1" applyFont="1" applyFill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6" fillId="6" borderId="0" xfId="0" applyFont="1" applyFill="1"/>
    <xf numFmtId="164" fontId="4" fillId="0" borderId="6" xfId="0" applyNumberFormat="1" applyFont="1" applyBorder="1" applyAlignment="1">
      <alignment horizontal="center"/>
    </xf>
    <xf numFmtId="3" fontId="4" fillId="3" borderId="0" xfId="0" applyNumberFormat="1" applyFont="1" applyFill="1" applyAlignment="1">
      <alignment horizontal="center"/>
    </xf>
    <xf numFmtId="0" fontId="8" fillId="3" borderId="7" xfId="0" applyFont="1" applyFill="1" applyBorder="1" applyAlignment="1">
      <alignment horizontal="center"/>
    </xf>
    <xf numFmtId="10" fontId="4" fillId="3" borderId="0" xfId="0" applyNumberFormat="1" applyFont="1" applyFill="1" applyAlignment="1">
      <alignment horizontal="center"/>
    </xf>
    <xf numFmtId="0" fontId="4" fillId="3" borderId="0" xfId="0" applyFont="1" applyFill="1"/>
    <xf numFmtId="10" fontId="12" fillId="3" borderId="8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3" fontId="4" fillId="0" borderId="3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13" fillId="9" borderId="0" xfId="0" applyFont="1" applyFill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10" fontId="4" fillId="3" borderId="10" xfId="0" applyNumberFormat="1" applyFont="1" applyFill="1" applyBorder="1" applyAlignment="1">
      <alignment horizontal="center"/>
    </xf>
    <xf numFmtId="10" fontId="4" fillId="9" borderId="3" xfId="0" applyNumberFormat="1" applyFont="1" applyFill="1" applyBorder="1" applyAlignment="1">
      <alignment horizontal="center"/>
    </xf>
    <xf numFmtId="10" fontId="4" fillId="3" borderId="3" xfId="0" applyNumberFormat="1" applyFont="1" applyFill="1" applyBorder="1" applyAlignment="1">
      <alignment horizontal="center"/>
    </xf>
    <xf numFmtId="10" fontId="4" fillId="9" borderId="0" xfId="0" applyNumberFormat="1" applyFont="1" applyFill="1" applyAlignment="1">
      <alignment horizontal="center"/>
    </xf>
    <xf numFmtId="164" fontId="4" fillId="3" borderId="8" xfId="0" applyNumberFormat="1" applyFont="1" applyFill="1" applyBorder="1" applyAlignment="1">
      <alignment horizontal="center"/>
    </xf>
    <xf numFmtId="10" fontId="4" fillId="3" borderId="4" xfId="0" applyNumberFormat="1" applyFont="1" applyFill="1" applyBorder="1" applyAlignment="1">
      <alignment horizontal="center"/>
    </xf>
    <xf numFmtId="10" fontId="4" fillId="9" borderId="8" xfId="0" applyNumberFormat="1" applyFont="1" applyFill="1" applyBorder="1" applyAlignment="1">
      <alignment horizontal="center"/>
    </xf>
    <xf numFmtId="10" fontId="4" fillId="3" borderId="8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0" fontId="1" fillId="2" borderId="10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0" fontId="9" fillId="0" borderId="0" xfId="0" applyNumberFormat="1" applyFont="1"/>
  </cellXfs>
  <cellStyles count="1">
    <cellStyle name="Normal" xfId="0" builtinId="0"/>
  </cellStyles>
  <dxfs count="5">
    <dxf>
      <fill>
        <patternFill patternType="solid">
          <fgColor rgb="FFF4CCCC"/>
          <bgColor rgb="FFF4CCCC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than Wong" id="{00B4CB1D-68D2-4D66-A376-B43EB76C0978}" userId="" providerId="google-sheets"/>
  <person displayName="Timmy Palthey" id="{834D2895-0EE2-4F97-BF6F-52A10F57624D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2-02T04:10:57.00" personId="{834D2895-0EE2-4F97-BF6F-52A10F57624D}" id="{4603149B-27EB-4BF8-BB4F-D73ADAEAC656}" done="1">
    <text>Looks like there's and error in the formula. Currently referencing the wrong cells</text>
  </threadedComment>
  <threadedComment ref="E40" dT="2023-04-18T19:20:19.00" personId="{00B4CB1D-68D2-4D66-A376-B43EB76C0978}" id="{C28A7607-4B53-4B99-B913-D0564C590B62}">
    <text>based on equity-only investments (excl. cash and ETF)</text>
  </threadedComment>
  <threadedComment ref="D42" dT="2023-04-13T19:34:15.00" personId="{00B4CB1D-68D2-4D66-A376-B43EB76C0978}" id="{54C1CDBE-073D-4545-8AFF-C2EE77CA790D}">
    <text>select sector of company from drop down</text>
  </threadedComment>
  <threadedComment ref="E42" dT="2023-04-18T19:18:56.00" personId="{00B4CB1D-68D2-4D66-A376-B43EB76C0978}" id="{2B21DFD5-3A9A-4DBD-889A-EC78B14DCDB4}">
    <text>autocalculates with formula</text>
  </threadedComment>
  <threadedComment ref="F42" dT="2023-04-13T19:34:29.00" personId="{00B4CB1D-68D2-4D66-A376-B43EB76C0978}" id="{3647DE62-781F-43F6-9AD7-1181479EC9AA}">
    <text>enter ticker symbol of company</text>
  </threadedComment>
  <threadedComment ref="J42" dT="2023-04-13T19:21:52.00" personId="{00B4CB1D-68D2-4D66-A376-B43EB76C0978}" id="{B5E23FA1-7FAC-4C88-B35B-323BE37EEF16}">
    <text>excl. cash and ETF</text>
  </threadedComment>
  <threadedComment ref="J42" dT="2023-04-13T19:34:59.00" personId="{00B4CB1D-68D2-4D66-A376-B43EB76C0978}" id="{C800FC80-4EDD-4C48-BA86-77FE8EA6CC8B}" parentId="{B5E23FA1-7FAC-4C88-B35B-323BE37EEF16}">
    <text>enter estimated % of portfolio equities new position should make up</text>
  </threadedComment>
  <threadedComment ref="S42" dT="2023-04-13T19:35:36.00" personId="{00B4CB1D-68D2-4D66-A376-B43EB76C0978}" id="{293BE520-0EB8-4416-A6CE-61BFB5142BFE}">
    <text>enter passive weight of company in IWV ETF: https://www.ishares.com/us/products/239714/ishares-russell-3000-etf</text>
    <extLst>
      <x:ext xmlns:xltc2="http://schemas.microsoft.com/office/spreadsheetml/2020/threadedcomments2" uri="{F7C98A9C-CBB3-438F-8F68-D28B6AF4A901}">
        <xltc2:checksum>1480581618</xltc2:checksum>
        <xltc2:hyperlink startIndex="44" length="67" url="https://www.ishares.com/us/products/239714/ishares-russell-3000-etf"/>
      </x:ext>
    </extLst>
  </threadedComment>
  <threadedComment ref="J48" dT="2023-04-13T19:35:09.00" personId="{00B4CB1D-68D2-4D66-A376-B43EB76C0978}" id="{7CCB59B0-638B-4CCB-889F-25B1EE06A949}">
    <text>enter what % of current position should be sold</text>
  </threadedComment>
  <threadedComment ref="J87" dT="2023-04-13T19:51:37.00" personId="{00B4CB1D-68D2-4D66-A376-B43EB76C0978}" id="{C3B01C03-1EF1-4E92-90E4-CCE11728469F}">
    <text>consumer staples + consumer discretionary</text>
  </threadedComment>
  <threadedComment ref="J88" dT="2023-04-13T19:51:47.00" personId="{00B4CB1D-68D2-4D66-A376-B43EB76C0978}" id="{F802BC2E-E5A3-4D50-87A7-6728A58303D6}" done="1">
    <text>industrials + materials + energy + utilities</text>
  </threadedComment>
  <threadedComment ref="W88" dT="2023-04-13T19:52:30.00" personId="{00B4CB1D-68D2-4D66-A376-B43EB76C0978}" id="{669EA4D3-7D96-4CDF-BECA-EE9EF9DC08C0}">
    <text>small cap + micro cap</text>
  </threadedComment>
  <threadedComment ref="W89" dT="2023-04-13T19:52:15.00" personId="{00B4CB1D-68D2-4D66-A376-B43EB76C0978}" id="{1D91A018-F1A9-4454-A472-8B054518065D}">
    <text>large cap + mega cap</text>
  </threadedComment>
  <threadedComment ref="J90" dT="2023-04-13T19:51:57.00" personId="{00B4CB1D-68D2-4D66-A376-B43EB76C0978}" id="{B12C76EB-9780-4727-99DE-CD433A2108B1}" done="1">
    <text>technology + communications</text>
  </threadedComment>
  <threadedComment ref="W90" dT="2023-04-12T23:56:59.00" personId="{00B4CB1D-68D2-4D66-A376-B43EB76C0978}" id="{07C7D78C-C6EF-4A8F-89B3-ACA852585B2D}">
    <text>ETF Index cash balance</text>
  </threadedComment>
  <threadedComment ref="J91" dT="2023-04-13T19:52:04.00" personId="{00B4CB1D-68D2-4D66-A376-B43EB76C0978}" id="{602B9C21-C928-4B6D-857B-9405C96314E8}">
    <text>financials + real estate</text>
  </threadedComment>
  <threadedComment ref="J92" dT="2023-04-12T23:52:56.00" personId="{00B4CB1D-68D2-4D66-A376-B43EB76C0978}" id="{30451054-E79E-4D58-B7CD-73F5A07D85A5}">
    <text>ETF cash allocation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23" dT="2023-04-13T19:22:05.00" personId="{00B4CB1D-68D2-4D66-A376-B43EB76C0978}" id="{E5E18454-A7AB-4047-A2B9-B36C218409A8}">
    <text>excl. cash and ETF</text>
  </threadedComment>
  <threadedComment ref="S23" dT="2023-04-13T19:36:00.00" personId="{00B4CB1D-68D2-4D66-A376-B43EB76C0978}" id="{BA30359F-1169-45B8-8A66-9ED3C4DB6057}">
    <text>passive weight in IWM ETF: https://www.ishares.com/us/products/239710/ishares-russell-2000-etf</text>
    <extLst>
      <x:ext xmlns:xltc2="http://schemas.microsoft.com/office/spreadsheetml/2020/threadedcomments2" uri="{F7C98A9C-CBB3-438F-8F68-D28B6AF4A901}">
        <xltc2:checksum>1325223986</xltc2:checksum>
        <xltc2:hyperlink startIndex="27" length="67" url="https://www.ishares.com/us/products/239710/ishares-russell-2000-etf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02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9" sqref="D9"/>
    </sheetView>
  </sheetViews>
  <sheetFormatPr defaultColWidth="12.59765625" defaultRowHeight="15.75" customHeight="1" outlineLevelRow="1" outlineLevelCol="1"/>
  <cols>
    <col min="1" max="1" width="9.46484375" customWidth="1"/>
    <col min="3" max="3" width="28.46484375" customWidth="1"/>
    <col min="4" max="4" width="13.265625" customWidth="1"/>
    <col min="5" max="5" width="13.59765625" customWidth="1"/>
    <col min="6" max="6" width="13" customWidth="1"/>
    <col min="8" max="9" width="15.1328125" customWidth="1"/>
    <col min="10" max="10" width="16.3984375" customWidth="1"/>
    <col min="11" max="13" width="12.59765625" customWidth="1"/>
    <col min="14" max="16" width="20.1328125" customWidth="1" outlineLevel="1"/>
    <col min="17" max="17" width="20.1328125" customWidth="1"/>
    <col min="18" max="19" width="13.46484375" customWidth="1"/>
    <col min="20" max="20" width="13.73046875" customWidth="1"/>
    <col min="21" max="21" width="13.46484375" customWidth="1"/>
    <col min="22" max="22" width="13.3984375" customWidth="1"/>
    <col min="23" max="27" width="12.59765625" customWidth="1"/>
  </cols>
  <sheetData>
    <row r="1" spans="1:40" ht="12.7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4" t="s">
        <v>17</v>
      </c>
      <c r="T1" s="5"/>
      <c r="U1" s="5"/>
      <c r="V1" s="5"/>
      <c r="W1" s="5"/>
      <c r="X1" s="5"/>
      <c r="Y1" s="5"/>
      <c r="Z1" s="5"/>
      <c r="AA1" s="5"/>
      <c r="AB1" s="5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12.75">
      <c r="A2" s="7" t="s">
        <v>18</v>
      </c>
      <c r="B2" s="8" t="str">
        <f ca="1">IFERROR(__xludf.DUMMYFUNCTION("IF(GOOGLEFINANCE(D2,""marketcap"")/1000000&gt;10000,""Large Cap"",IF(GOOGLEFINANCE(D2,""marketcap"")/1000000&gt;2000,""Mid Cap"",""Small Cap""))"),"Large Cap")</f>
        <v>Large Cap</v>
      </c>
      <c r="C2" s="9" t="str">
        <f ca="1">IFERROR(__xludf.DUMMYFUNCTION("GOOGLEFINANCE(D2,""Name"")"),"Apple Inc")</f>
        <v>Apple Inc</v>
      </c>
      <c r="D2" s="9" t="s">
        <v>19</v>
      </c>
      <c r="E2" s="10">
        <v>328.42680000000001</v>
      </c>
      <c r="F2" s="11">
        <f ca="1">IFERROR(__xludf.DUMMYFUNCTION("GOOGLEFINANCE(D2,""price"")"),283.78)</f>
        <v>283.77999999999997</v>
      </c>
      <c r="G2" s="11">
        <f t="shared" ref="G2:G34" ca="1" si="0">F2*E2</f>
        <v>93200.957303999996</v>
      </c>
      <c r="H2" s="11">
        <v>170</v>
      </c>
      <c r="I2" s="12">
        <v>44588</v>
      </c>
      <c r="J2" s="13">
        <v>6.0400000000000002E-2</v>
      </c>
      <c r="K2" s="14">
        <f t="shared" ref="K2:K34" ca="1" si="1">G2/($G$37-$G$36-$G$35)</f>
        <v>4.5386254882368499E-2</v>
      </c>
      <c r="L2" s="15">
        <f t="shared" ref="L2:L34" ca="1" si="2">G2/($G$37-$G$35)</f>
        <v>3.4446031948469194E-2</v>
      </c>
      <c r="M2" s="14">
        <f t="shared" ref="M2:M34" ca="1" si="3">L2-J2</f>
        <v>-2.5953968051530808E-2</v>
      </c>
      <c r="N2" s="11">
        <v>249.65</v>
      </c>
      <c r="O2" s="14">
        <f t="shared" ref="O2:O34" ca="1" si="4">$F$36/N2-1</f>
        <v>0.67133987582615662</v>
      </c>
      <c r="P2" s="14">
        <f t="shared" ref="P2:P34" ca="1" si="5">F2/H2-1</f>
        <v>0.6692941176470586</v>
      </c>
      <c r="Q2" s="14">
        <f t="shared" ref="Q2:Q34" ca="1" si="6">P2-O2</f>
        <v>-2.0457581790980228E-3</v>
      </c>
      <c r="R2" s="11" t="s">
        <v>20</v>
      </c>
      <c r="S2" s="16">
        <f t="shared" ref="S2:S34" ca="1" si="7">TODAY()-I2</f>
        <v>1611</v>
      </c>
      <c r="T2" s="5"/>
      <c r="U2" s="5"/>
      <c r="V2" s="5"/>
      <c r="W2" s="5"/>
      <c r="X2" s="5"/>
      <c r="Y2" s="5"/>
      <c r="Z2" s="5"/>
      <c r="AA2" s="5"/>
      <c r="AB2" s="5"/>
      <c r="AC2" s="6"/>
      <c r="AD2" s="17"/>
      <c r="AE2" s="6"/>
      <c r="AF2" s="18"/>
      <c r="AG2" s="6"/>
      <c r="AH2" s="6"/>
      <c r="AI2" s="6"/>
      <c r="AJ2" s="6"/>
      <c r="AK2" s="6"/>
      <c r="AL2" s="6"/>
      <c r="AM2" s="6"/>
      <c r="AN2" s="6"/>
    </row>
    <row r="3" spans="1:40" ht="12.75">
      <c r="A3" s="19" t="s">
        <v>18</v>
      </c>
      <c r="B3" s="20" t="str">
        <f ca="1">IFERROR(__xludf.DUMMYFUNCTION("IF(GOOGLEFINANCE(D3,""marketcap"")/1000000&gt;10000,""Large Cap"",IF(GOOGLEFINANCE(D3,""marketcap"")/1000000&gt;2000,""Mid Cap"",""Small Cap""))"),"Mid Cap")</f>
        <v>Mid Cap</v>
      </c>
      <c r="C3" s="21" t="str">
        <f ca="1">IFERROR(__xludf.DUMMYFUNCTION("GOOGLEFINANCE(D3,""Name"")"),"ACI Worldwide Inc")</f>
        <v>ACI Worldwide Inc</v>
      </c>
      <c r="D3" s="21" t="s">
        <v>21</v>
      </c>
      <c r="E3" s="10">
        <v>1103</v>
      </c>
      <c r="F3" s="22">
        <f ca="1">IFERROR(__xludf.DUMMYFUNCTION("GOOGLEFINANCE(D3,""price"")"),49.26)</f>
        <v>49.26</v>
      </c>
      <c r="G3" s="22">
        <f t="shared" ca="1" si="0"/>
        <v>54333.78</v>
      </c>
      <c r="H3" s="22">
        <v>36.090000000000003</v>
      </c>
      <c r="I3" s="23">
        <v>45415</v>
      </c>
      <c r="J3" s="24">
        <v>1E-4</v>
      </c>
      <c r="K3" s="15">
        <f t="shared" ca="1" si="1"/>
        <v>2.6459028524342208E-2</v>
      </c>
      <c r="L3" s="15">
        <f t="shared" ca="1" si="2"/>
        <v>2.0081157703739291E-2</v>
      </c>
      <c r="M3" s="15">
        <f t="shared" ca="1" si="3"/>
        <v>1.9981157703739292E-2</v>
      </c>
      <c r="N3" s="22">
        <v>295.77</v>
      </c>
      <c r="O3" s="15">
        <f t="shared" ca="1" si="4"/>
        <v>0.41072454948101567</v>
      </c>
      <c r="P3" s="15">
        <f t="shared" ca="1" si="5"/>
        <v>0.36492103075644211</v>
      </c>
      <c r="Q3" s="15">
        <f t="shared" ca="1" si="6"/>
        <v>-4.5803518724573555E-2</v>
      </c>
      <c r="R3" s="22"/>
      <c r="S3" s="25">
        <f t="shared" ca="1" si="7"/>
        <v>784</v>
      </c>
      <c r="T3" s="5"/>
      <c r="U3" s="5"/>
      <c r="V3" s="5"/>
      <c r="W3" s="5"/>
      <c r="X3" s="5"/>
      <c r="Y3" s="5"/>
      <c r="Z3" s="5"/>
      <c r="AA3" s="5"/>
      <c r="AB3" s="5"/>
      <c r="AC3" s="6"/>
      <c r="AD3" s="17"/>
      <c r="AE3" s="6"/>
      <c r="AF3" s="18"/>
      <c r="AG3" s="6"/>
      <c r="AH3" s="6"/>
      <c r="AI3" s="6"/>
      <c r="AJ3" s="6"/>
      <c r="AK3" s="6"/>
      <c r="AL3" s="6"/>
      <c r="AM3" s="6"/>
      <c r="AN3" s="6"/>
    </row>
    <row r="4" spans="1:40" ht="12.75">
      <c r="A4" s="19" t="s">
        <v>22</v>
      </c>
      <c r="B4" s="20" t="str">
        <f ca="1">IFERROR(__xludf.DUMMYFUNCTION("IF(GOOGLEFINANCE(D4,""marketcap"")/1000000&gt;10000,""Large Cap"",IF(GOOGLEFINANCE(D4,""marketcap"")/1000000&gt;2000,""Mid Cap"",""Small Cap""))"),"Large Cap")</f>
        <v>Large Cap</v>
      </c>
      <c r="C4" s="21" t="str">
        <f ca="1">IFERROR(__xludf.DUMMYFUNCTION("GOOGLEFINANCE(D4,""Name"")"),"Amazon.com Inc")</f>
        <v>Amazon.com Inc</v>
      </c>
      <c r="D4" s="21" t="s">
        <v>23</v>
      </c>
      <c r="E4" s="10">
        <v>360</v>
      </c>
      <c r="F4" s="22">
        <f ca="1">IFERROR(__xludf.DUMMYFUNCTION("GOOGLEFINANCE(D4,""price"")"),232.69)</f>
        <v>232.69</v>
      </c>
      <c r="G4" s="22">
        <f t="shared" ca="1" si="0"/>
        <v>83768.399999999994</v>
      </c>
      <c r="H4" s="22">
        <v>98.49</v>
      </c>
      <c r="I4" s="23">
        <v>44877</v>
      </c>
      <c r="J4" s="24">
        <v>3.1199999999999999E-2</v>
      </c>
      <c r="K4" s="15">
        <f t="shared" ca="1" si="1"/>
        <v>4.0792863758761261E-2</v>
      </c>
      <c r="L4" s="15">
        <f t="shared" ca="1" si="2"/>
        <v>3.09598642132006E-2</v>
      </c>
      <c r="M4" s="15">
        <f t="shared" ca="1" si="3"/>
        <v>-2.401357867993989E-4</v>
      </c>
      <c r="N4" s="22">
        <v>231.01</v>
      </c>
      <c r="O4" s="15">
        <f t="shared" ca="1" si="4"/>
        <v>0.80619886584996325</v>
      </c>
      <c r="P4" s="15">
        <f t="shared" ca="1" si="5"/>
        <v>1.3625748806985483</v>
      </c>
      <c r="Q4" s="15">
        <f t="shared" ca="1" si="6"/>
        <v>0.55637601484858501</v>
      </c>
      <c r="R4" s="22"/>
      <c r="S4" s="16">
        <f t="shared" ca="1" si="7"/>
        <v>1322</v>
      </c>
      <c r="T4" s="5"/>
      <c r="U4" s="5"/>
      <c r="V4" s="5"/>
      <c r="W4" s="5"/>
      <c r="X4" s="5"/>
      <c r="Y4" s="5"/>
      <c r="Z4" s="5"/>
      <c r="AA4" s="5"/>
      <c r="AB4" s="5"/>
      <c r="AC4" s="6"/>
      <c r="AD4" s="17"/>
      <c r="AE4" s="6"/>
      <c r="AF4" s="18"/>
      <c r="AG4" s="6"/>
      <c r="AH4" s="6"/>
      <c r="AI4" s="6"/>
      <c r="AJ4" s="6"/>
      <c r="AK4" s="6"/>
      <c r="AL4" s="6"/>
      <c r="AM4" s="6"/>
      <c r="AN4" s="6"/>
    </row>
    <row r="5" spans="1:40" ht="12.75">
      <c r="A5" s="19" t="s">
        <v>18</v>
      </c>
      <c r="B5" s="20" t="str">
        <f ca="1">IFERROR(__xludf.DUMMYFUNCTION("IF(GOOGLEFINANCE(D5,""marketcap"")/1000000&gt;10000,""Large Cap"",IF(GOOGLEFINANCE(D5,""marketcap"")/1000000&gt;2000,""Mid Cap"",""Small Cap""))"),"Large Cap")</f>
        <v>Large Cap</v>
      </c>
      <c r="C5" s="21" t="str">
        <f ca="1">IFERROR(__xludf.DUMMYFUNCTION("GOOGLEFINANCE(D5,""Name"")"),"Broadcom Inc")</f>
        <v>Broadcom Inc</v>
      </c>
      <c r="D5" s="21" t="s">
        <v>24</v>
      </c>
      <c r="E5" s="10">
        <v>435.88780000000003</v>
      </c>
      <c r="F5" s="22">
        <f ca="1">IFERROR(__xludf.DUMMYFUNCTION("GOOGLEFINANCE(D5,""price"")"),365.02)</f>
        <v>365.02</v>
      </c>
      <c r="G5" s="22">
        <f t="shared" ca="1" si="0"/>
        <v>159107.76475599999</v>
      </c>
      <c r="H5" s="22">
        <v>120</v>
      </c>
      <c r="I5" s="26">
        <v>45310</v>
      </c>
      <c r="J5" s="24">
        <v>1.3899999999999999E-2</v>
      </c>
      <c r="K5" s="15">
        <f t="shared" ca="1" si="1"/>
        <v>7.7481023520236086E-2</v>
      </c>
      <c r="L5" s="15">
        <f t="shared" ca="1" si="2"/>
        <v>5.8804451226376821E-2</v>
      </c>
      <c r="M5" s="15">
        <f t="shared" ca="1" si="3"/>
        <v>4.4904451226376818E-2</v>
      </c>
      <c r="N5" s="22">
        <v>275</v>
      </c>
      <c r="O5" s="15">
        <f t="shared" ca="1" si="4"/>
        <v>0.51727272727272733</v>
      </c>
      <c r="P5" s="15">
        <f t="shared" ca="1" si="5"/>
        <v>2.0418333333333334</v>
      </c>
      <c r="Q5" s="15">
        <f t="shared" ca="1" si="6"/>
        <v>1.5245606060606061</v>
      </c>
      <c r="R5" s="22"/>
      <c r="S5" s="25">
        <f t="shared" ca="1" si="7"/>
        <v>889</v>
      </c>
      <c r="T5" s="5"/>
      <c r="U5" s="5"/>
      <c r="V5" s="5"/>
      <c r="W5" s="5"/>
      <c r="X5" s="5"/>
      <c r="Y5" s="5"/>
      <c r="Z5" s="5"/>
      <c r="AA5" s="5"/>
      <c r="AB5" s="5"/>
      <c r="AC5" s="6"/>
      <c r="AD5" s="27"/>
      <c r="AE5" s="6"/>
      <c r="AF5" s="18"/>
      <c r="AG5" s="6"/>
      <c r="AH5" s="6"/>
      <c r="AI5" s="6"/>
      <c r="AJ5" s="6"/>
      <c r="AK5" s="6"/>
      <c r="AL5" s="6"/>
      <c r="AM5" s="6"/>
      <c r="AN5" s="6"/>
    </row>
    <row r="6" spans="1:40" ht="12.75">
      <c r="A6" s="19" t="s">
        <v>22</v>
      </c>
      <c r="B6" s="20" t="str">
        <f ca="1">IFERROR(__xludf.DUMMYFUNCTION("IF(GOOGLEFINANCE(D6,""marketcap"")/1000000&gt;10000,""Large Cap"",IF(GOOGLEFINANCE(D6,""marketcap"")/1000000&gt;2000,""Mid Cap"",""Small Cap""))"),"Large Cap")</f>
        <v>Large Cap</v>
      </c>
      <c r="C6" s="21" t="str">
        <f ca="1">IFERROR(__xludf.DUMMYFUNCTION("GOOGLEFINANCE(D6,""Name"")"),"Bunge Global SA")</f>
        <v>Bunge Global SA</v>
      </c>
      <c r="D6" s="21" t="s">
        <v>25</v>
      </c>
      <c r="E6" s="10">
        <v>388.15440000000001</v>
      </c>
      <c r="F6" s="22">
        <f ca="1">IFERROR(__xludf.DUMMYFUNCTION("GOOGLEFINANCE(D6,""price"")"),110.54)</f>
        <v>110.54</v>
      </c>
      <c r="G6" s="22">
        <f t="shared" ca="1" si="0"/>
        <v>42906.587376000003</v>
      </c>
      <c r="H6" s="22">
        <v>105.87</v>
      </c>
      <c r="I6" s="26">
        <v>44621</v>
      </c>
      <c r="J6" s="24">
        <v>2.0000000000000001E-4</v>
      </c>
      <c r="K6" s="15">
        <f t="shared" ca="1" si="1"/>
        <v>2.0894305886020911E-2</v>
      </c>
      <c r="L6" s="15">
        <f t="shared" ca="1" si="2"/>
        <v>1.5857795051747284E-2</v>
      </c>
      <c r="M6" s="15">
        <f t="shared" ca="1" si="3"/>
        <v>1.5657795051747286E-2</v>
      </c>
      <c r="N6" s="22">
        <v>250.62</v>
      </c>
      <c r="O6" s="15">
        <f t="shared" ca="1" si="4"/>
        <v>0.66487111962333412</v>
      </c>
      <c r="P6" s="15">
        <f t="shared" ca="1" si="5"/>
        <v>4.4110701804099373E-2</v>
      </c>
      <c r="Q6" s="15">
        <f t="shared" ca="1" si="6"/>
        <v>-0.62076041781923474</v>
      </c>
      <c r="R6" s="28" t="s">
        <v>20</v>
      </c>
      <c r="S6" s="16">
        <f t="shared" ca="1" si="7"/>
        <v>1578</v>
      </c>
      <c r="T6" s="5"/>
      <c r="U6" s="5"/>
      <c r="V6" s="5"/>
      <c r="W6" s="5"/>
      <c r="X6" s="5"/>
      <c r="Y6" s="5"/>
      <c r="Z6" s="5"/>
      <c r="AA6" s="5"/>
      <c r="AB6" s="5"/>
      <c r="AC6" s="6"/>
      <c r="AD6" s="29"/>
      <c r="AE6" s="6"/>
      <c r="AF6" s="18"/>
      <c r="AG6" s="6"/>
      <c r="AH6" s="6"/>
      <c r="AI6" s="6"/>
      <c r="AJ6" s="6"/>
      <c r="AK6" s="6"/>
      <c r="AL6" s="6"/>
      <c r="AM6" s="6"/>
      <c r="AN6" s="6"/>
    </row>
    <row r="7" spans="1:40" ht="12.75">
      <c r="A7" s="19" t="s">
        <v>18</v>
      </c>
      <c r="B7" s="20" t="str">
        <f ca="1">IFERROR(__xludf.DUMMYFUNCTION("IF(GOOGLEFINANCE(D7,""marketcap"")/1000000&gt;10000,""Large Cap"",IF(GOOGLEFINANCE(D7,""marketcap"")/1000000&gt;2000,""Mid Cap"",""Small Cap""))"),"Mid Cap")</f>
        <v>Mid Cap</v>
      </c>
      <c r="C7" s="21" t="str">
        <f ca="1">IFERROR(__xludf.DUMMYFUNCTION("GOOGLEFINANCE(D7,""Name"")"),"BILL Holdings Inc")</f>
        <v>BILL Holdings Inc</v>
      </c>
      <c r="D7" s="21" t="s">
        <v>26</v>
      </c>
      <c r="E7" s="10">
        <v>650</v>
      </c>
      <c r="F7" s="22">
        <f ca="1">IFERROR(__xludf.DUMMYFUNCTION("GOOGLEFINANCE(D7,""price"")"),35.52)</f>
        <v>35.520000000000003</v>
      </c>
      <c r="G7" s="22">
        <f t="shared" ca="1" si="0"/>
        <v>23088.000000000004</v>
      </c>
      <c r="H7" s="22">
        <v>49.38</v>
      </c>
      <c r="I7" s="26">
        <v>45720</v>
      </c>
      <c r="J7" s="24">
        <v>1E-4</v>
      </c>
      <c r="K7" s="15">
        <f t="shared" ca="1" si="1"/>
        <v>1.1243209115397695E-2</v>
      </c>
      <c r="L7" s="15">
        <f t="shared" ca="1" si="2"/>
        <v>8.533066704800087E-3</v>
      </c>
      <c r="M7" s="15">
        <f t="shared" ca="1" si="3"/>
        <v>8.4330667048000876E-3</v>
      </c>
      <c r="N7" s="22">
        <v>328.86</v>
      </c>
      <c r="O7" s="15">
        <f t="shared" ca="1" si="4"/>
        <v>0.26877698716779164</v>
      </c>
      <c r="P7" s="15">
        <f t="shared" ca="1" si="5"/>
        <v>-0.28068043742405835</v>
      </c>
      <c r="Q7" s="15">
        <f t="shared" ca="1" si="6"/>
        <v>-0.54945742459184999</v>
      </c>
      <c r="R7" s="28"/>
      <c r="S7" s="25">
        <f t="shared" ca="1" si="7"/>
        <v>479</v>
      </c>
      <c r="T7" s="5"/>
      <c r="U7" s="5"/>
      <c r="V7" s="5"/>
      <c r="W7" s="5"/>
      <c r="X7" s="5"/>
      <c r="Y7" s="5"/>
      <c r="Z7" s="5"/>
      <c r="AA7" s="5"/>
      <c r="AB7" s="5"/>
      <c r="AC7" s="6"/>
      <c r="AD7" s="29"/>
      <c r="AE7" s="6"/>
      <c r="AF7" s="18"/>
      <c r="AG7" s="6"/>
      <c r="AH7" s="6"/>
      <c r="AI7" s="6"/>
      <c r="AJ7" s="6"/>
      <c r="AK7" s="6"/>
      <c r="AL7" s="6"/>
      <c r="AM7" s="6"/>
      <c r="AN7" s="6"/>
    </row>
    <row r="8" spans="1:40" ht="12.75">
      <c r="A8" s="19" t="s">
        <v>27</v>
      </c>
      <c r="B8" s="20" t="str">
        <f ca="1">IFERROR(__xludf.DUMMYFUNCTION("IF(GOOGLEFINANCE(D8,""marketcap"")/1000000&gt;10000,""Large Cap"",IF(GOOGLEFINANCE(D8,""marketcap"")/1000000&gt;2000,""Mid Cap"",""Small Cap""))"),"Large Cap")</f>
        <v>Large Cap</v>
      </c>
      <c r="C8" s="21" t="str">
        <f ca="1">IFERROR(__xludf.DUMMYFUNCTION("GOOGLEFINANCE(D8,""Name"")"),"Berkshire Hathaway Inc Class B")</f>
        <v>Berkshire Hathaway Inc Class B</v>
      </c>
      <c r="D8" s="21" t="s">
        <v>28</v>
      </c>
      <c r="E8" s="10">
        <v>96</v>
      </c>
      <c r="F8" s="22">
        <f ca="1">IFERROR(__xludf.DUMMYFUNCTION("GOOGLEFINANCE(D8,""price"")"),498.66)</f>
        <v>498.66</v>
      </c>
      <c r="G8" s="22">
        <f t="shared" ca="1" si="0"/>
        <v>47871.360000000001</v>
      </c>
      <c r="H8" s="22">
        <v>458.05</v>
      </c>
      <c r="I8" s="26">
        <v>45590</v>
      </c>
      <c r="J8" s="24">
        <v>1.49E-2</v>
      </c>
      <c r="K8" s="15">
        <f t="shared" ca="1" si="1"/>
        <v>2.3312011049830411E-2</v>
      </c>
      <c r="L8" s="15">
        <f t="shared" ca="1" si="2"/>
        <v>1.7692719513578422E-2</v>
      </c>
      <c r="M8" s="15">
        <f t="shared" ca="1" si="3"/>
        <v>2.7927195135784219E-3</v>
      </c>
      <c r="N8" s="22">
        <v>249.59</v>
      </c>
      <c r="O8" s="15">
        <f t="shared" ca="1" si="4"/>
        <v>0.67174165631635874</v>
      </c>
      <c r="P8" s="15">
        <f t="shared" ca="1" si="5"/>
        <v>8.865844340137552E-2</v>
      </c>
      <c r="Q8" s="15">
        <f t="shared" ca="1" si="6"/>
        <v>-0.58308321291498322</v>
      </c>
      <c r="R8" s="28"/>
      <c r="S8" s="25">
        <f t="shared" ca="1" si="7"/>
        <v>609</v>
      </c>
      <c r="T8" s="5"/>
      <c r="U8" s="5"/>
      <c r="V8" s="5"/>
      <c r="W8" s="5"/>
      <c r="X8" s="5"/>
      <c r="Y8" s="5"/>
      <c r="Z8" s="5"/>
      <c r="AA8" s="5"/>
      <c r="AB8" s="5"/>
      <c r="AC8" s="6"/>
      <c r="AD8" s="29"/>
      <c r="AE8" s="6"/>
      <c r="AF8" s="18"/>
      <c r="AG8" s="6"/>
      <c r="AH8" s="6"/>
      <c r="AI8" s="6"/>
      <c r="AJ8" s="6"/>
      <c r="AK8" s="6"/>
      <c r="AL8" s="6"/>
      <c r="AM8" s="6"/>
      <c r="AN8" s="6"/>
    </row>
    <row r="9" spans="1:40" ht="12.75">
      <c r="A9" s="19" t="s">
        <v>27</v>
      </c>
      <c r="B9" s="20" t="str">
        <f ca="1">IFERROR(__xludf.DUMMYFUNCTION("IF(GOOGLEFINANCE(D9,""marketcap"")/1000000&gt;10000,""Large Cap"",IF(GOOGLEFINANCE(D9,""marketcap"")/1000000&gt;2000,""Mid Cap"",""Small Cap""))"),"Large Cap")</f>
        <v>Large Cap</v>
      </c>
      <c r="C9" s="21" t="str">
        <f ca="1">IFERROR(__xludf.DUMMYFUNCTION("GOOGLEFINANCE(D9,""Name"")"),"Citigroup Inc")</f>
        <v>Citigroup Inc</v>
      </c>
      <c r="D9" s="21" t="s">
        <v>29</v>
      </c>
      <c r="E9" s="10">
        <v>1001.5848999999999</v>
      </c>
      <c r="F9" s="22">
        <f ca="1">IFERROR(__xludf.DUMMYFUNCTION("GOOGLEFINANCE(D9,""price"")"),141.76)</f>
        <v>141.76</v>
      </c>
      <c r="G9" s="22">
        <f t="shared" ca="1" si="0"/>
        <v>141984.67542399999</v>
      </c>
      <c r="H9" s="22">
        <v>44.32</v>
      </c>
      <c r="I9" s="26">
        <v>45079</v>
      </c>
      <c r="J9" s="24">
        <v>2.2000000000000001E-3</v>
      </c>
      <c r="K9" s="15">
        <f t="shared" ca="1" si="1"/>
        <v>6.9142558773990795E-2</v>
      </c>
      <c r="L9" s="15">
        <f t="shared" ca="1" si="2"/>
        <v>5.247594882416759E-2</v>
      </c>
      <c r="M9" s="15">
        <f t="shared" ca="1" si="3"/>
        <v>5.0275948824167589E-2</v>
      </c>
      <c r="N9" s="22">
        <v>245.26</v>
      </c>
      <c r="O9" s="15">
        <f t="shared" ca="1" si="4"/>
        <v>0.70125581016064586</v>
      </c>
      <c r="P9" s="15">
        <f t="shared" ca="1" si="5"/>
        <v>2.1985559566787001</v>
      </c>
      <c r="Q9" s="15">
        <f t="shared" ca="1" si="6"/>
        <v>1.4973001465180542</v>
      </c>
      <c r="R9" s="28"/>
      <c r="S9" s="25">
        <f t="shared" ca="1" si="7"/>
        <v>1120</v>
      </c>
      <c r="T9" s="5"/>
      <c r="U9" s="5"/>
      <c r="V9" s="5"/>
      <c r="W9" s="5"/>
      <c r="X9" s="5"/>
      <c r="Y9" s="5"/>
      <c r="Z9" s="5"/>
      <c r="AA9" s="5"/>
      <c r="AB9" s="5"/>
      <c r="AC9" s="6"/>
      <c r="AD9" s="30"/>
      <c r="AE9" s="6"/>
      <c r="AF9" s="18"/>
      <c r="AG9" s="6"/>
      <c r="AH9" s="6"/>
      <c r="AI9" s="6"/>
      <c r="AJ9" s="6"/>
      <c r="AK9" s="6"/>
      <c r="AL9" s="6"/>
      <c r="AM9" s="6"/>
      <c r="AN9" s="6"/>
    </row>
    <row r="10" spans="1:40" ht="12.75">
      <c r="A10" s="19" t="s">
        <v>30</v>
      </c>
      <c r="B10" s="20" t="str">
        <f ca="1">IFERROR(__xludf.DUMMYFUNCTION("IF(GOOGLEFINANCE(D10,""marketcap"")/1000000&gt;10000,""Large Cap"",IF(GOOGLEFINANCE(D10,""marketcap"")/1000000&gt;2000,""Mid Cap"",""Small Cap""))"),"Large Cap")</f>
        <v>Large Cap</v>
      </c>
      <c r="C10" s="21" t="str">
        <f ca="1">IFERROR(__xludf.DUMMYFUNCTION("GOOGLEFINANCE(D10,""Name"")"),"CACI INTERNATIONAL INC Common Stock")</f>
        <v>CACI INTERNATIONAL INC Common Stock</v>
      </c>
      <c r="D10" s="21" t="s">
        <v>31</v>
      </c>
      <c r="E10" s="10">
        <v>124</v>
      </c>
      <c r="F10" s="22">
        <f ca="1">IFERROR(__xludf.DUMMYFUNCTION("GOOGLEFINANCE(D10,""price"")"),453.92)</f>
        <v>453.92</v>
      </c>
      <c r="G10" s="22">
        <f t="shared" ca="1" si="0"/>
        <v>56286.080000000002</v>
      </c>
      <c r="H10" s="22">
        <v>306.87</v>
      </c>
      <c r="I10" s="26">
        <v>45621</v>
      </c>
      <c r="J10" s="24">
        <v>2.0000000000000001E-4</v>
      </c>
      <c r="K10" s="15">
        <f t="shared" ca="1" si="1"/>
        <v>2.7409743924376465E-2</v>
      </c>
      <c r="L10" s="15">
        <f t="shared" ca="1" si="2"/>
        <v>2.0802705959447072E-2</v>
      </c>
      <c r="M10" s="15">
        <f t="shared" ca="1" si="3"/>
        <v>2.0602705959447073E-2</v>
      </c>
      <c r="N10" s="22">
        <v>344</v>
      </c>
      <c r="O10" s="15">
        <f t="shared" ca="1" si="4"/>
        <v>0.2129360465116279</v>
      </c>
      <c r="P10" s="15">
        <f t="shared" ca="1" si="5"/>
        <v>0.47919314367647536</v>
      </c>
      <c r="Q10" s="15">
        <f t="shared" ca="1" si="6"/>
        <v>0.26625709716484747</v>
      </c>
      <c r="R10" s="22"/>
      <c r="S10" s="25">
        <f t="shared" ca="1" si="7"/>
        <v>578</v>
      </c>
      <c r="T10" s="5"/>
      <c r="U10" s="5"/>
      <c r="V10" s="5"/>
      <c r="W10" s="5"/>
      <c r="X10" s="5"/>
      <c r="Y10" s="5"/>
      <c r="Z10" s="5"/>
      <c r="AA10" s="5"/>
      <c r="AB10" s="5"/>
      <c r="AC10" s="6"/>
      <c r="AD10" s="29"/>
      <c r="AE10" s="6"/>
      <c r="AF10" s="18"/>
      <c r="AG10" s="6"/>
      <c r="AH10" s="6"/>
      <c r="AI10" s="6"/>
      <c r="AJ10" s="6"/>
      <c r="AK10" s="6"/>
      <c r="AL10" s="6"/>
      <c r="AM10" s="6"/>
      <c r="AN10" s="6"/>
    </row>
    <row r="11" spans="1:40" ht="12.75">
      <c r="A11" s="19" t="s">
        <v>18</v>
      </c>
      <c r="B11" s="20" t="str">
        <f ca="1">IFERROR(__xludf.DUMMYFUNCTION("IF(GOOGLEFINANCE(D11,""marketcap"")/1000000&gt;10000,""Large Cap"",IF(GOOGLEFINANCE(D11,""marketcap"")/1000000&gt;2000,""Mid Cap"",""Small Cap""))"),"Large Cap")</f>
        <v>Large Cap</v>
      </c>
      <c r="C11" s="21" t="str">
        <f ca="1">IFERROR(__xludf.DUMMYFUNCTION("GOOGLEFINANCE(D11,""Name"")"),"Cisco Systems Inc")</f>
        <v>Cisco Systems Inc</v>
      </c>
      <c r="D11" s="21" t="s">
        <v>32</v>
      </c>
      <c r="E11" s="10">
        <v>670.46389999999997</v>
      </c>
      <c r="F11" s="22">
        <f ca="1">IFERROR(__xludf.DUMMYFUNCTION("GOOGLEFINANCE(D11,""price"")"),113.77)</f>
        <v>113.77</v>
      </c>
      <c r="G11" s="22">
        <f t="shared" ca="1" si="0"/>
        <v>76278.677902999989</v>
      </c>
      <c r="H11" s="22">
        <v>45.62</v>
      </c>
      <c r="I11" s="26">
        <v>44708</v>
      </c>
      <c r="J11" s="24">
        <v>4.0000000000000001E-3</v>
      </c>
      <c r="K11" s="15">
        <f t="shared" ca="1" si="1"/>
        <v>3.7145578946183908E-2</v>
      </c>
      <c r="L11" s="15">
        <f t="shared" ca="1" si="2"/>
        <v>2.8191746651951628E-2</v>
      </c>
      <c r="M11" s="15">
        <f t="shared" ca="1" si="3"/>
        <v>2.4191746651951628E-2</v>
      </c>
      <c r="N11" s="22">
        <v>240.06</v>
      </c>
      <c r="O11" s="15">
        <f t="shared" ca="1" si="4"/>
        <v>0.73810713988169629</v>
      </c>
      <c r="P11" s="15">
        <f t="shared" ca="1" si="5"/>
        <v>1.4938623410784744</v>
      </c>
      <c r="Q11" s="15">
        <f t="shared" ca="1" si="6"/>
        <v>0.75575520119677808</v>
      </c>
      <c r="R11" s="28" t="s">
        <v>20</v>
      </c>
      <c r="S11" s="16">
        <f t="shared" ca="1" si="7"/>
        <v>1491</v>
      </c>
      <c r="T11" s="5"/>
      <c r="U11" s="5"/>
      <c r="V11" s="5"/>
      <c r="W11" s="5"/>
      <c r="X11" s="5"/>
      <c r="Y11" s="5"/>
      <c r="Z11" s="5"/>
      <c r="AA11" s="5"/>
      <c r="AB11" s="5"/>
      <c r="AC11" s="6"/>
      <c r="AD11" s="30"/>
      <c r="AE11" s="6"/>
      <c r="AF11" s="18"/>
      <c r="AG11" s="6"/>
      <c r="AH11" s="6"/>
      <c r="AI11" s="6"/>
      <c r="AJ11" s="6"/>
      <c r="AK11" s="6"/>
      <c r="AL11" s="6"/>
      <c r="AM11" s="6"/>
      <c r="AN11" s="6"/>
    </row>
    <row r="12" spans="1:40" ht="12.75">
      <c r="A12" s="19" t="s">
        <v>30</v>
      </c>
      <c r="B12" s="20" t="str">
        <f ca="1">IFERROR(__xludf.DUMMYFUNCTION("IF(GOOGLEFINANCE(D12,""marketcap"")/1000000&gt;10000,""Large Cap"",IF(GOOGLEFINANCE(D12,""marketcap"")/1000000&gt;2000,""Mid Cap"",""Small Cap""))"),"Large Cap")</f>
        <v>Large Cap</v>
      </c>
      <c r="C12" s="21" t="str">
        <f ca="1">IFERROR(__xludf.DUMMYFUNCTION("GOOGLEFINANCE(D12,""Name"")"),"Corteva Inc")</f>
        <v>Corteva Inc</v>
      </c>
      <c r="D12" s="21" t="s">
        <v>33</v>
      </c>
      <c r="E12" s="10">
        <v>763.00040000000001</v>
      </c>
      <c r="F12" s="22">
        <f ca="1">IFERROR(__xludf.DUMMYFUNCTION("GOOGLEFINANCE(D12,""price"")"),82.62)</f>
        <v>82.62</v>
      </c>
      <c r="G12" s="22">
        <f t="shared" ca="1" si="0"/>
        <v>63039.093048000002</v>
      </c>
      <c r="H12" s="22">
        <v>47.46</v>
      </c>
      <c r="I12" s="26">
        <v>45446</v>
      </c>
      <c r="J12" s="24">
        <v>8.0000000000000004E-4</v>
      </c>
      <c r="K12" s="15">
        <f t="shared" ca="1" si="1"/>
        <v>3.0698272071365079E-2</v>
      </c>
      <c r="L12" s="15">
        <f t="shared" ca="1" si="2"/>
        <v>2.329854409167894E-2</v>
      </c>
      <c r="M12" s="15">
        <f t="shared" ca="1" si="3"/>
        <v>2.2498544091678941E-2</v>
      </c>
      <c r="N12" s="22">
        <v>300.5</v>
      </c>
      <c r="O12" s="15">
        <f t="shared" ca="1" si="4"/>
        <v>0.38851913477537448</v>
      </c>
      <c r="P12" s="15">
        <f t="shared" ca="1" si="5"/>
        <v>0.74083438685208614</v>
      </c>
      <c r="Q12" s="15">
        <f t="shared" ca="1" si="6"/>
        <v>0.35231525207671166</v>
      </c>
      <c r="R12" s="28"/>
      <c r="S12" s="25">
        <f t="shared" ca="1" si="7"/>
        <v>753</v>
      </c>
      <c r="T12" s="5"/>
      <c r="U12" s="5"/>
      <c r="V12" s="5"/>
      <c r="W12" s="5"/>
      <c r="X12" s="5"/>
      <c r="Y12" s="5"/>
      <c r="Z12" s="5"/>
      <c r="AA12" s="5"/>
      <c r="AB12" s="5"/>
      <c r="AC12" s="6"/>
      <c r="AD12" s="29"/>
      <c r="AE12" s="6"/>
      <c r="AF12" s="18"/>
      <c r="AG12" s="6"/>
      <c r="AH12" s="6"/>
      <c r="AI12" s="6"/>
      <c r="AJ12" s="6"/>
      <c r="AK12" s="6"/>
      <c r="AL12" s="6"/>
      <c r="AM12" s="6"/>
      <c r="AN12" s="6"/>
    </row>
    <row r="13" spans="1:40" ht="12.75">
      <c r="A13" s="19" t="s">
        <v>34</v>
      </c>
      <c r="B13" s="20" t="str">
        <f ca="1">IFERROR(__xludf.DUMMYFUNCTION("IF(GOOGLEFINANCE(D13,""marketcap"")/1000000&gt;10000,""Large Cap"",IF(GOOGLEFINANCE(D13,""marketcap"")/1000000&gt;2000,""Mid Cap"",""Small Cap""))"),"Large Cap")</f>
        <v>Large Cap</v>
      </c>
      <c r="C13" s="21" t="str">
        <f ca="1">IFERROR(__xludf.DUMMYFUNCTION("GOOGLEFINANCE(D13,""Name"")"),"CVS Health Corp")</f>
        <v>CVS Health Corp</v>
      </c>
      <c r="D13" s="21" t="s">
        <v>35</v>
      </c>
      <c r="E13" s="10">
        <v>774.42219999999998</v>
      </c>
      <c r="F13" s="22">
        <v>54.85</v>
      </c>
      <c r="G13" s="22">
        <f t="shared" si="0"/>
        <v>42477.057670000002</v>
      </c>
      <c r="H13" s="22">
        <v>70.680000000000007</v>
      </c>
      <c r="I13" s="26">
        <v>45446</v>
      </c>
      <c r="J13" s="24">
        <v>1.2999999999999999E-3</v>
      </c>
      <c r="K13" s="15">
        <f t="shared" ca="1" si="1"/>
        <v>2.0685136953855574E-2</v>
      </c>
      <c r="L13" s="15">
        <f t="shared" ca="1" si="2"/>
        <v>1.5699045674018978E-2</v>
      </c>
      <c r="M13" s="15">
        <f t="shared" ca="1" si="3"/>
        <v>1.4399045674018979E-2</v>
      </c>
      <c r="N13" s="22">
        <v>300.5</v>
      </c>
      <c r="O13" s="15">
        <f t="shared" ca="1" si="4"/>
        <v>0.38851913477537448</v>
      </c>
      <c r="P13" s="15">
        <f t="shared" si="5"/>
        <v>-0.22396717600452754</v>
      </c>
      <c r="Q13" s="15">
        <f t="shared" ca="1" si="6"/>
        <v>-0.61248631077990201</v>
      </c>
      <c r="R13" s="28"/>
      <c r="S13" s="25">
        <f t="shared" ca="1" si="7"/>
        <v>753</v>
      </c>
      <c r="T13" s="5"/>
      <c r="U13" s="5"/>
      <c r="V13" s="5"/>
      <c r="W13" s="5"/>
      <c r="X13" s="5"/>
      <c r="Y13" s="5"/>
      <c r="Z13" s="5"/>
      <c r="AA13" s="5"/>
      <c r="AB13" s="5"/>
      <c r="AC13" s="6"/>
      <c r="AD13" s="29"/>
      <c r="AE13" s="6"/>
      <c r="AF13" s="18"/>
      <c r="AG13" s="6"/>
      <c r="AH13" s="6"/>
      <c r="AI13" s="6"/>
      <c r="AJ13" s="6"/>
      <c r="AK13" s="6"/>
      <c r="AL13" s="6"/>
      <c r="AM13" s="6"/>
      <c r="AN13" s="6"/>
    </row>
    <row r="14" spans="1:40" ht="12.75">
      <c r="A14" s="19" t="s">
        <v>30</v>
      </c>
      <c r="B14" s="20" t="str">
        <f ca="1">IFERROR(__xludf.DUMMYFUNCTION("IF(GOOGLEFINANCE(D14,""marketcap"")/1000000&gt;10000,""Large Cap"",IF(GOOGLEFINANCE(D14,""marketcap"")/1000000&gt;2000,""Mid Cap"",""Small Cap""))"),"Large Cap")</f>
        <v>Large Cap</v>
      </c>
      <c r="C14" s="21" t="str">
        <f ca="1">IFERROR(__xludf.DUMMYFUNCTION("GOOGLEFINANCE(D14,""Name"")"),"Chevron Corp")</f>
        <v>Chevron Corp</v>
      </c>
      <c r="D14" s="21" t="s">
        <v>36</v>
      </c>
      <c r="E14" s="10">
        <v>243.33860000000001</v>
      </c>
      <c r="F14" s="22">
        <f ca="1">IFERROR(__xludf.DUMMYFUNCTION("GOOGLEFINANCE(D14,""price"")"),171.06)</f>
        <v>171.06</v>
      </c>
      <c r="G14" s="22">
        <f t="shared" ca="1" si="0"/>
        <v>41625.500916000005</v>
      </c>
      <c r="H14" s="22">
        <v>143.84</v>
      </c>
      <c r="I14" s="23">
        <v>45632</v>
      </c>
      <c r="J14" s="24">
        <v>6.9999999999999999E-4</v>
      </c>
      <c r="K14" s="15">
        <f t="shared" ca="1" si="1"/>
        <v>2.0270452673759799E-2</v>
      </c>
      <c r="L14" s="15">
        <f t="shared" ca="1" si="2"/>
        <v>1.5384319817088751E-2</v>
      </c>
      <c r="M14" s="15">
        <f t="shared" ca="1" si="3"/>
        <v>1.4684319817088752E-2</v>
      </c>
      <c r="N14" s="22">
        <v>346.74</v>
      </c>
      <c r="O14" s="15">
        <f t="shared" ca="1" si="4"/>
        <v>0.20335121416623414</v>
      </c>
      <c r="P14" s="15">
        <f t="shared" ca="1" si="5"/>
        <v>0.18923804226918794</v>
      </c>
      <c r="Q14" s="15">
        <f t="shared" ca="1" si="6"/>
        <v>-1.4113171897046195E-2</v>
      </c>
      <c r="R14" s="22"/>
      <c r="S14" s="25">
        <f t="shared" ca="1" si="7"/>
        <v>567</v>
      </c>
      <c r="T14" s="5"/>
      <c r="U14" s="5"/>
      <c r="V14" s="5"/>
      <c r="W14" s="5"/>
      <c r="X14" s="5"/>
      <c r="Y14" s="5"/>
      <c r="Z14" s="5"/>
      <c r="AA14" s="5"/>
      <c r="AB14" s="5"/>
      <c r="AC14" s="6"/>
      <c r="AD14" s="29"/>
      <c r="AE14" s="6"/>
      <c r="AF14" s="18"/>
      <c r="AG14" s="6"/>
      <c r="AH14" s="6"/>
      <c r="AI14" s="6"/>
      <c r="AJ14" s="6"/>
      <c r="AK14" s="6"/>
      <c r="AL14" s="6"/>
      <c r="AM14" s="6"/>
      <c r="AN14" s="6"/>
    </row>
    <row r="15" spans="1:40" ht="12.75">
      <c r="A15" s="19" t="s">
        <v>30</v>
      </c>
      <c r="B15" s="20" t="str">
        <f ca="1">IFERROR(__xludf.DUMMYFUNCTION("IF(GOOGLEFINANCE(D15,""marketcap"")/1000000&gt;10000,""Large Cap"",IF(GOOGLEFINANCE(D15,""marketcap"")/1000000&gt;2000,""Mid Cap"",""Small Cap""))"),"Large Cap")</f>
        <v>Large Cap</v>
      </c>
      <c r="C15" s="21" t="str">
        <f ca="1">IFERROR(__xludf.DUMMYFUNCTION("GOOGLEFINANCE(D15,""Name"")"),"Delta Air Lines Inc")</f>
        <v>Delta Air Lines Inc</v>
      </c>
      <c r="D15" s="21" t="s">
        <v>37</v>
      </c>
      <c r="E15" s="10">
        <v>708.93939999999998</v>
      </c>
      <c r="F15" s="22">
        <f ca="1">IFERROR(__xludf.DUMMYFUNCTION("GOOGLEFINANCE(D15,""price"")"),92.57)</f>
        <v>92.57</v>
      </c>
      <c r="G15" s="22">
        <f t="shared" ca="1" si="0"/>
        <v>65626.52025799999</v>
      </c>
      <c r="H15" s="22">
        <v>34.47</v>
      </c>
      <c r="I15" s="26">
        <v>44883</v>
      </c>
      <c r="J15" s="24">
        <v>5.9999999999999995E-4</v>
      </c>
      <c r="K15" s="15">
        <f t="shared" ca="1" si="1"/>
        <v>3.1958276627537113E-2</v>
      </c>
      <c r="L15" s="15">
        <f t="shared" ca="1" si="2"/>
        <v>2.4254828264268367E-2</v>
      </c>
      <c r="M15" s="15">
        <f t="shared" ca="1" si="3"/>
        <v>2.3654828264268367E-2</v>
      </c>
      <c r="N15" s="22">
        <v>228.94</v>
      </c>
      <c r="O15" s="15">
        <f t="shared" ca="1" si="4"/>
        <v>0.82252992050318863</v>
      </c>
      <c r="P15" s="15">
        <f t="shared" ca="1" si="5"/>
        <v>1.6855236437481866</v>
      </c>
      <c r="Q15" s="15">
        <f t="shared" ca="1" si="6"/>
        <v>0.86299372324499801</v>
      </c>
      <c r="R15" s="28" t="s">
        <v>38</v>
      </c>
      <c r="S15" s="31">
        <f t="shared" ca="1" si="7"/>
        <v>1316</v>
      </c>
      <c r="T15" s="5"/>
      <c r="U15" s="5"/>
      <c r="V15" s="5"/>
      <c r="W15" s="5"/>
      <c r="X15" s="5"/>
      <c r="Y15" s="5"/>
      <c r="Z15" s="5"/>
      <c r="AA15" s="5"/>
      <c r="AB15" s="5"/>
      <c r="AC15" s="6"/>
      <c r="AD15" s="29"/>
      <c r="AE15" s="6"/>
      <c r="AF15" s="18"/>
      <c r="AG15" s="6"/>
      <c r="AH15" s="6"/>
      <c r="AI15" s="6"/>
      <c r="AJ15" s="6"/>
      <c r="AK15" s="6"/>
      <c r="AL15" s="6"/>
      <c r="AM15" s="6"/>
      <c r="AN15" s="6"/>
    </row>
    <row r="16" spans="1:40" ht="12.75">
      <c r="A16" s="19" t="s">
        <v>22</v>
      </c>
      <c r="B16" s="20" t="str">
        <f ca="1">IFERROR(__xludf.DUMMYFUNCTION("IF(GOOGLEFINANCE(D16,""marketcap"")/1000000&gt;10000,""Large Cap"",IF(GOOGLEFINANCE(D16,""marketcap"")/1000000&gt;2000,""Mid Cap"",""Small Cap""))"),"Large Cap")</f>
        <v>Large Cap</v>
      </c>
      <c r="C16" s="21" t="str">
        <f ca="1">IFERROR(__xludf.DUMMYFUNCTION("GOOGLEFINANCE(D16,""Name"")"),"Dollar General Corp")</f>
        <v>Dollar General Corp</v>
      </c>
      <c r="D16" s="21" t="s">
        <v>39</v>
      </c>
      <c r="E16" s="10">
        <v>297.41000000000003</v>
      </c>
      <c r="F16" s="22">
        <f ca="1">IFERROR(__xludf.DUMMYFUNCTION("GOOGLEFINANCE(D16,""price"")"),119.51)</f>
        <v>119.51</v>
      </c>
      <c r="G16" s="22">
        <f t="shared" ca="1" si="0"/>
        <v>35543.469100000002</v>
      </c>
      <c r="H16" s="22">
        <v>100.98</v>
      </c>
      <c r="I16" s="26">
        <v>45804</v>
      </c>
      <c r="J16" s="24">
        <v>4.0000000000000002E-4</v>
      </c>
      <c r="K16" s="15">
        <f t="shared" ca="1" si="1"/>
        <v>1.7308673587057184E-2</v>
      </c>
      <c r="L16" s="15">
        <f t="shared" ca="1" si="2"/>
        <v>1.3136468847466247E-2</v>
      </c>
      <c r="M16" s="15">
        <f t="shared" ca="1" si="3"/>
        <v>1.2736468847466247E-2</v>
      </c>
      <c r="N16" s="22">
        <v>336</v>
      </c>
      <c r="O16" s="15">
        <f t="shared" ca="1" si="4"/>
        <v>0.24181547619047628</v>
      </c>
      <c r="P16" s="15">
        <f t="shared" ca="1" si="5"/>
        <v>0.18350168350168361</v>
      </c>
      <c r="Q16" s="15">
        <f t="shared" ca="1" si="6"/>
        <v>-5.8313792688792665E-2</v>
      </c>
      <c r="R16" s="28" t="s">
        <v>38</v>
      </c>
      <c r="S16" s="25">
        <f t="shared" ca="1" si="7"/>
        <v>395</v>
      </c>
      <c r="T16" s="5"/>
      <c r="U16" s="5"/>
      <c r="V16" s="5"/>
      <c r="W16" s="5"/>
      <c r="X16" s="5"/>
      <c r="Y16" s="5"/>
      <c r="Z16" s="5"/>
      <c r="AA16" s="5"/>
      <c r="AB16" s="5"/>
      <c r="AC16" s="6"/>
      <c r="AD16" s="29"/>
      <c r="AE16" s="6"/>
      <c r="AF16" s="18"/>
      <c r="AG16" s="6"/>
      <c r="AH16" s="6"/>
      <c r="AI16" s="6"/>
      <c r="AJ16" s="6"/>
      <c r="AK16" s="6"/>
      <c r="AL16" s="6"/>
      <c r="AM16" s="6"/>
      <c r="AN16" s="6"/>
    </row>
    <row r="17" spans="1:40" ht="12.75">
      <c r="A17" s="19" t="s">
        <v>27</v>
      </c>
      <c r="B17" s="20" t="str">
        <f ca="1">IFERROR(__xludf.DUMMYFUNCTION("IF(GOOGLEFINANCE(D17,""marketcap"")/1000000&gt;10000,""Large Cap"",IF(GOOGLEFINANCE(D17,""marketcap"")/1000000&gt;2000,""Mid Cap"",""Small Cap""))"),"Large Cap")</f>
        <v>Large Cap</v>
      </c>
      <c r="C17" s="21" t="str">
        <f ca="1">IFERROR(__xludf.DUMMYFUNCTION("GOOGLEFINANCE(D17,""Name"")"),"Evercore Inc")</f>
        <v>Evercore Inc</v>
      </c>
      <c r="D17" s="21" t="s">
        <v>40</v>
      </c>
      <c r="E17" s="10">
        <v>241.60990000000001</v>
      </c>
      <c r="F17" s="22">
        <f ca="1">IFERROR(__xludf.DUMMYFUNCTION("GOOGLEFINANCE(D17,""price"")"),342.02)</f>
        <v>342.02</v>
      </c>
      <c r="G17" s="22">
        <f t="shared" ca="1" si="0"/>
        <v>82635.417998000004</v>
      </c>
      <c r="H17" s="22">
        <v>146.16999999999999</v>
      </c>
      <c r="I17" s="26">
        <v>45257</v>
      </c>
      <c r="J17" s="24">
        <v>2.0000000000000001E-4</v>
      </c>
      <c r="K17" s="15">
        <f t="shared" ca="1" si="1"/>
        <v>4.0241133267923258E-2</v>
      </c>
      <c r="L17" s="15">
        <f t="shared" ca="1" si="2"/>
        <v>3.054112673059475E-2</v>
      </c>
      <c r="M17" s="15">
        <f t="shared" ca="1" si="3"/>
        <v>3.0341126730594751E-2</v>
      </c>
      <c r="N17" s="22">
        <v>259.48</v>
      </c>
      <c r="O17" s="15">
        <f t="shared" ca="1" si="4"/>
        <v>0.60802373978726676</v>
      </c>
      <c r="P17" s="15">
        <f t="shared" ca="1" si="5"/>
        <v>1.3398782239857701</v>
      </c>
      <c r="Q17" s="15">
        <f t="shared" ca="1" si="6"/>
        <v>0.7318544841985033</v>
      </c>
      <c r="R17" s="28"/>
      <c r="S17" s="25">
        <f t="shared" ca="1" si="7"/>
        <v>942</v>
      </c>
      <c r="T17" s="5"/>
      <c r="U17" s="5"/>
      <c r="V17" s="5"/>
      <c r="W17" s="5"/>
      <c r="X17" s="5"/>
      <c r="Y17" s="5"/>
      <c r="Z17" s="5"/>
      <c r="AA17" s="5"/>
      <c r="AB17" s="5"/>
      <c r="AC17" s="6"/>
      <c r="AD17" s="29"/>
      <c r="AE17" s="6"/>
      <c r="AF17" s="18"/>
      <c r="AG17" s="6"/>
      <c r="AH17" s="6"/>
      <c r="AI17" s="6"/>
      <c r="AJ17" s="6"/>
      <c r="AK17" s="6"/>
      <c r="AL17" s="6"/>
      <c r="AM17" s="6"/>
      <c r="AN17" s="6"/>
    </row>
    <row r="18" spans="1:40" ht="12.75">
      <c r="A18" s="19" t="s">
        <v>30</v>
      </c>
      <c r="B18" s="20" t="s">
        <v>41</v>
      </c>
      <c r="C18" s="21" t="s">
        <v>42</v>
      </c>
      <c r="D18" s="21" t="s">
        <v>43</v>
      </c>
      <c r="E18" s="10">
        <v>83</v>
      </c>
      <c r="F18" s="22">
        <f ca="1">IFERROR(__xludf.DUMMYFUNCTION("GOOGLEFINANCE(D18,""price"")"),346.71)</f>
        <v>346.71</v>
      </c>
      <c r="G18" s="22">
        <f t="shared" ca="1" si="0"/>
        <v>28776.929999999997</v>
      </c>
      <c r="H18" s="22">
        <v>359.23</v>
      </c>
      <c r="I18" s="23">
        <v>46042</v>
      </c>
      <c r="J18" s="24">
        <v>1.4E-3</v>
      </c>
      <c r="K18" s="15">
        <f t="shared" ca="1" si="1"/>
        <v>1.401355863172043E-2</v>
      </c>
      <c r="L18" s="15">
        <f t="shared" ca="1" si="2"/>
        <v>1.063563163761966E-2</v>
      </c>
      <c r="M18" s="15">
        <f t="shared" ca="1" si="3"/>
        <v>9.2356316376196596E-3</v>
      </c>
      <c r="N18" s="22">
        <v>386.36</v>
      </c>
      <c r="O18" s="15">
        <f t="shared" ca="1" si="4"/>
        <v>7.9951340718500852E-2</v>
      </c>
      <c r="P18" s="15">
        <f t="shared" ca="1" si="5"/>
        <v>-3.4852323024246457E-2</v>
      </c>
      <c r="Q18" s="15">
        <f t="shared" ca="1" si="6"/>
        <v>-0.11480366374274731</v>
      </c>
      <c r="R18" s="22"/>
      <c r="S18" s="25">
        <f t="shared" ca="1" si="7"/>
        <v>157</v>
      </c>
      <c r="T18" s="5"/>
      <c r="U18" s="5"/>
      <c r="V18" s="5"/>
      <c r="W18" s="5"/>
      <c r="X18" s="5"/>
      <c r="Y18" s="5"/>
      <c r="Z18" s="5"/>
      <c r="AA18" s="5"/>
      <c r="AB18" s="5"/>
      <c r="AC18" s="6"/>
      <c r="AD18" s="29"/>
      <c r="AE18" s="6"/>
      <c r="AF18" s="18"/>
      <c r="AG18" s="6"/>
      <c r="AH18" s="6"/>
      <c r="AI18" s="6"/>
      <c r="AJ18" s="6"/>
      <c r="AK18" s="6"/>
      <c r="AL18" s="6"/>
      <c r="AM18" s="6"/>
      <c r="AN18" s="6"/>
    </row>
    <row r="19" spans="1:40" ht="12.75">
      <c r="A19" s="19" t="s">
        <v>18</v>
      </c>
      <c r="B19" s="20" t="str">
        <f ca="1">IFERROR(__xludf.DUMMYFUNCTION("IF(GOOGLEFINANCE(D19,""marketcap"")/1000000&gt;10000,""Large Cap"",IF(GOOGLEFINANCE(D19,""marketcap"")/1000000&gt;2000,""Mid Cap"",""Small Cap""))"),"Large Cap")</f>
        <v>Large Cap</v>
      </c>
      <c r="C19" s="32" t="str">
        <f ca="1">IFERROR(__xludf.DUMMYFUNCTION("GOOGLEFINANCE(D19,""Name"")"),"Alphabet Inc Class A")</f>
        <v>Alphabet Inc Class A</v>
      </c>
      <c r="D19" s="21" t="s">
        <v>44</v>
      </c>
      <c r="E19" s="10">
        <v>586.22320000000002</v>
      </c>
      <c r="F19" s="22">
        <f ca="1">IFERROR(__xludf.DUMMYFUNCTION("GOOGLEFINANCE(D19,""price"")"),337.39)</f>
        <v>337.39</v>
      </c>
      <c r="G19" s="22">
        <f t="shared" ca="1" si="0"/>
        <v>197785.84544800001</v>
      </c>
      <c r="H19" s="22">
        <v>119.64</v>
      </c>
      <c r="I19" s="23">
        <v>44673</v>
      </c>
      <c r="J19" s="24">
        <f>1.74%+1.48%</f>
        <v>3.2199999999999999E-2</v>
      </c>
      <c r="K19" s="15">
        <f t="shared" ca="1" si="1"/>
        <v>9.6316165126368369E-2</v>
      </c>
      <c r="L19" s="15">
        <f t="shared" ca="1" si="2"/>
        <v>7.3099437477177079E-2</v>
      </c>
      <c r="M19" s="15">
        <f t="shared" ca="1" si="3"/>
        <v>4.0899437477177079E-2</v>
      </c>
      <c r="N19" s="22">
        <v>246.89</v>
      </c>
      <c r="O19" s="15">
        <f t="shared" ca="1" si="4"/>
        <v>0.6900238972821906</v>
      </c>
      <c r="P19" s="15">
        <f t="shared" ca="1" si="5"/>
        <v>1.8200434637245069</v>
      </c>
      <c r="Q19" s="15">
        <f t="shared" ca="1" si="6"/>
        <v>1.1300195664423163</v>
      </c>
      <c r="R19" s="22" t="s">
        <v>20</v>
      </c>
      <c r="S19" s="16">
        <f t="shared" ca="1" si="7"/>
        <v>1526</v>
      </c>
      <c r="T19" s="5"/>
      <c r="U19" s="5"/>
      <c r="V19" s="5"/>
      <c r="W19" s="5"/>
      <c r="X19" s="5"/>
      <c r="Y19" s="5"/>
      <c r="Z19" s="5"/>
      <c r="AA19" s="5"/>
      <c r="AB19" s="5"/>
      <c r="AC19" s="6"/>
      <c r="AD19" s="29"/>
      <c r="AE19" s="6"/>
      <c r="AF19" s="18"/>
      <c r="AG19" s="6"/>
      <c r="AH19" s="6"/>
      <c r="AI19" s="6"/>
      <c r="AJ19" s="6"/>
      <c r="AK19" s="6"/>
      <c r="AL19" s="6"/>
      <c r="AM19" s="6"/>
      <c r="AN19" s="6"/>
    </row>
    <row r="20" spans="1:40" ht="12.75">
      <c r="A20" s="19" t="s">
        <v>34</v>
      </c>
      <c r="B20" s="20" t="str">
        <f ca="1">IFERROR(__xludf.DUMMYFUNCTION("IF(GOOGLEFINANCE(D20,""marketcap"")/1000000&gt;10000,""Large Cap"",IF(GOOGLEFINANCE(D20,""marketcap"")/1000000&gt;2000,""Mid Cap"",""Small Cap""))"),"Large Cap")</f>
        <v>Large Cap</v>
      </c>
      <c r="C20" s="21" t="str">
        <f ca="1">IFERROR(__xludf.DUMMYFUNCTION("GOOGLEFINANCE(D20,""Name"")"),"Iqvia Holdings Inc")</f>
        <v>Iqvia Holdings Inc</v>
      </c>
      <c r="D20" s="21" t="s">
        <v>45</v>
      </c>
      <c r="E20" s="10">
        <v>117</v>
      </c>
      <c r="F20" s="22">
        <f ca="1">IFERROR(__xludf.DUMMYFUNCTION("GOOGLEFINANCE(D20,""price"")"),191.14)</f>
        <v>191.14</v>
      </c>
      <c r="G20" s="22">
        <f t="shared" ca="1" si="0"/>
        <v>22363.379999999997</v>
      </c>
      <c r="H20" s="22">
        <v>198</v>
      </c>
      <c r="I20" s="23">
        <v>45072</v>
      </c>
      <c r="J20" s="24">
        <v>6.9999999999999999E-4</v>
      </c>
      <c r="K20" s="15">
        <f t="shared" ca="1" si="1"/>
        <v>1.0890339477958352E-2</v>
      </c>
      <c r="L20" s="15">
        <f t="shared" ca="1" si="2"/>
        <v>8.2652552531528121E-3</v>
      </c>
      <c r="M20" s="15">
        <f t="shared" ca="1" si="3"/>
        <v>7.565255253152812E-3</v>
      </c>
      <c r="N20" s="22">
        <v>240.31</v>
      </c>
      <c r="O20" s="15">
        <f t="shared" ca="1" si="4"/>
        <v>0.73629894719320865</v>
      </c>
      <c r="P20" s="15">
        <f t="shared" ca="1" si="5"/>
        <v>-3.4646464646464703E-2</v>
      </c>
      <c r="Q20" s="15">
        <f t="shared" ca="1" si="6"/>
        <v>-0.77094541183967336</v>
      </c>
      <c r="R20" s="33" t="s">
        <v>38</v>
      </c>
      <c r="S20" s="31">
        <f t="shared" ca="1" si="7"/>
        <v>1127</v>
      </c>
      <c r="T20" s="5"/>
      <c r="U20" s="5"/>
      <c r="V20" s="5"/>
      <c r="W20" s="5"/>
      <c r="X20" s="5"/>
      <c r="Y20" s="5"/>
      <c r="Z20" s="5"/>
      <c r="AA20" s="5"/>
      <c r="AB20" s="5"/>
      <c r="AC20" s="6"/>
      <c r="AD20" s="29"/>
      <c r="AE20" s="6"/>
      <c r="AF20" s="18"/>
      <c r="AG20" s="6"/>
      <c r="AH20" s="6"/>
      <c r="AI20" s="6"/>
      <c r="AJ20" s="6"/>
      <c r="AK20" s="6"/>
      <c r="AL20" s="6"/>
      <c r="AM20" s="6"/>
      <c r="AN20" s="6"/>
    </row>
    <row r="21" spans="1:40" ht="12.75">
      <c r="A21" s="19" t="s">
        <v>30</v>
      </c>
      <c r="B21" s="20" t="str">
        <f ca="1">IFERROR(__xludf.DUMMYFUNCTION("IF(GOOGLEFINANCE(D21,""marketcap"")/1000000&gt;10000,""Large Cap"",IF(GOOGLEFINANCE(D21,""marketcap"")/1000000&gt;2000,""Mid Cap"",""Small Cap""))"),"Mid Cap")</f>
        <v>Mid Cap</v>
      </c>
      <c r="C21" s="21" t="str">
        <f ca="1">IFERROR(__xludf.DUMMYFUNCTION("GOOGLEFINANCE(D21,""Name"")"),"Kirby Corp")</f>
        <v>Kirby Corp</v>
      </c>
      <c r="D21" s="21" t="s">
        <v>46</v>
      </c>
      <c r="E21" s="10">
        <v>343</v>
      </c>
      <c r="F21" s="34">
        <f ca="1">IFERROR(__xludf.DUMMYFUNCTION("GOOGLEFINANCE(D21,""price"")"),136.78)</f>
        <v>136.78</v>
      </c>
      <c r="G21" s="34">
        <f t="shared" ca="1" si="0"/>
        <v>46915.54</v>
      </c>
      <c r="H21" s="34">
        <v>110.89</v>
      </c>
      <c r="I21" s="35">
        <v>45804</v>
      </c>
      <c r="J21" s="24">
        <v>1E-4</v>
      </c>
      <c r="K21" s="15">
        <f t="shared" ca="1" si="1"/>
        <v>2.2846553490202922E-2</v>
      </c>
      <c r="L21" s="15">
        <f t="shared" ca="1" si="2"/>
        <v>1.7339459126460354E-2</v>
      </c>
      <c r="M21" s="15">
        <f t="shared" ca="1" si="3"/>
        <v>1.7239459126460355E-2</v>
      </c>
      <c r="N21" s="34">
        <v>336</v>
      </c>
      <c r="O21" s="15">
        <f t="shared" ca="1" si="4"/>
        <v>0.24181547619047628</v>
      </c>
      <c r="P21" s="15">
        <f t="shared" ca="1" si="5"/>
        <v>0.23347461448282081</v>
      </c>
      <c r="Q21" s="15">
        <f t="shared" ca="1" si="6"/>
        <v>-8.340861707655467E-3</v>
      </c>
      <c r="R21" s="28"/>
      <c r="S21" s="25">
        <f t="shared" ca="1" si="7"/>
        <v>395</v>
      </c>
      <c r="T21" s="5"/>
      <c r="U21" s="5"/>
      <c r="V21" s="5"/>
      <c r="W21" s="5"/>
      <c r="X21" s="5"/>
      <c r="Y21" s="5"/>
      <c r="Z21" s="5"/>
      <c r="AA21" s="5"/>
      <c r="AB21" s="5"/>
      <c r="AC21" s="6"/>
      <c r="AD21" s="29"/>
      <c r="AE21" s="6"/>
      <c r="AF21" s="18"/>
      <c r="AG21" s="6"/>
      <c r="AH21" s="6"/>
      <c r="AI21" s="6"/>
      <c r="AJ21" s="6"/>
      <c r="AK21" s="6"/>
      <c r="AL21" s="6"/>
      <c r="AM21" s="6"/>
      <c r="AN21" s="6"/>
    </row>
    <row r="22" spans="1:40" ht="12.75">
      <c r="A22" s="19" t="s">
        <v>34</v>
      </c>
      <c r="B22" s="20" t="str">
        <f ca="1">IFERROR(__xludf.DUMMYFUNCTION("IF(GOOGLEFINANCE(D22,""marketcap"")/1000000&gt;10000,""Large Cap"",IF(GOOGLEFINANCE(D22,""marketcap"")/1000000&gt;2000,""Mid Cap"",""Small Cap""))"),"Large Cap")</f>
        <v>Large Cap</v>
      </c>
      <c r="C22" s="21" t="str">
        <f ca="1">IFERROR(__xludf.DUMMYFUNCTION("GOOGLEFINANCE(D22,""Name"")"),"McKesson Corp")</f>
        <v>McKesson Corp</v>
      </c>
      <c r="D22" s="21" t="s">
        <v>47</v>
      </c>
      <c r="E22" s="10">
        <v>84.448099999999997</v>
      </c>
      <c r="F22" s="22">
        <f ca="1">IFERROR(__xludf.DUMMYFUNCTION("GOOGLEFINANCE(D22,""price"")"),763.51)</f>
        <v>763.51</v>
      </c>
      <c r="G22" s="22">
        <f t="shared" ca="1" si="0"/>
        <v>64476.968830999998</v>
      </c>
      <c r="H22" s="22">
        <v>573.16</v>
      </c>
      <c r="I22" s="26">
        <v>45450</v>
      </c>
      <c r="J22" s="24">
        <v>1.1999999999999999E-3</v>
      </c>
      <c r="K22" s="15">
        <f t="shared" ca="1" si="1"/>
        <v>3.139847729096986E-2</v>
      </c>
      <c r="L22" s="15">
        <f t="shared" ca="1" si="2"/>
        <v>2.3829966907408132E-2</v>
      </c>
      <c r="M22" s="15">
        <f t="shared" ca="1" si="3"/>
        <v>2.2629966907408133E-2</v>
      </c>
      <c r="N22" s="22">
        <v>303.23</v>
      </c>
      <c r="O22" s="15">
        <f t="shared" ca="1" si="4"/>
        <v>0.37601820400356156</v>
      </c>
      <c r="P22" s="15">
        <f t="shared" ca="1" si="5"/>
        <v>0.33210621815897845</v>
      </c>
      <c r="Q22" s="15">
        <f t="shared" ca="1" si="6"/>
        <v>-4.3911985844583112E-2</v>
      </c>
      <c r="R22" s="28"/>
      <c r="S22" s="25">
        <f t="shared" ca="1" si="7"/>
        <v>749</v>
      </c>
      <c r="T22" s="5"/>
      <c r="U22" s="5"/>
      <c r="V22" s="5"/>
      <c r="W22" s="5"/>
      <c r="X22" s="5"/>
      <c r="Y22" s="5"/>
      <c r="Z22" s="5"/>
      <c r="AA22" s="5"/>
      <c r="AB22" s="5"/>
      <c r="AC22" s="6"/>
      <c r="AD22" s="29"/>
      <c r="AE22" s="6"/>
      <c r="AF22" s="18"/>
      <c r="AG22" s="6"/>
      <c r="AH22" s="6"/>
      <c r="AI22" s="6"/>
      <c r="AJ22" s="6"/>
      <c r="AK22" s="6"/>
      <c r="AL22" s="6"/>
      <c r="AM22" s="6"/>
      <c r="AN22" s="6"/>
    </row>
    <row r="23" spans="1:40" ht="12.75">
      <c r="A23" s="19" t="s">
        <v>18</v>
      </c>
      <c r="B23" s="20" t="str">
        <f ca="1">IFERROR(__xludf.DUMMYFUNCTION("IF(GOOGLEFINANCE(D23,""marketcap"")/1000000&gt;10000,""Large Cap"",IF(GOOGLEFINANCE(D23,""marketcap"")/1000000&gt;2000,""Mid Cap"",""Small Cap""))"),"Large Cap")</f>
        <v>Large Cap</v>
      </c>
      <c r="C23" s="21" t="str">
        <f ca="1">IFERROR(__xludf.DUMMYFUNCTION("GOOGLEFINANCE(D23,""Name"")"),"Microsoft Corp")</f>
        <v>Microsoft Corp</v>
      </c>
      <c r="D23" s="21" t="s">
        <v>48</v>
      </c>
      <c r="E23" s="10">
        <v>197.8271</v>
      </c>
      <c r="F23" s="22">
        <f ca="1">IFERROR(__xludf.DUMMYFUNCTION("GOOGLEFINANCE(D23,""price"")"),372.97)</f>
        <v>372.97</v>
      </c>
      <c r="G23" s="22">
        <f t="shared" ca="1" si="0"/>
        <v>73783.573487000001</v>
      </c>
      <c r="H23" s="22">
        <v>405</v>
      </c>
      <c r="I23" s="26">
        <v>45317</v>
      </c>
      <c r="J23" s="24">
        <v>5.6500000000000002E-2</v>
      </c>
      <c r="K23" s="15">
        <f t="shared" ca="1" si="1"/>
        <v>3.593053300396977E-2</v>
      </c>
      <c r="L23" s="15">
        <f t="shared" ca="1" si="2"/>
        <v>2.7269583951970291E-2</v>
      </c>
      <c r="M23" s="15">
        <f t="shared" ca="1" si="3"/>
        <v>-2.9230416048029711E-2</v>
      </c>
      <c r="N23" s="22">
        <v>280</v>
      </c>
      <c r="O23" s="15">
        <f t="shared" ca="1" si="4"/>
        <v>0.49017857142857135</v>
      </c>
      <c r="P23" s="15">
        <f t="shared" ca="1" si="5"/>
        <v>-7.908641975308639E-2</v>
      </c>
      <c r="Q23" s="15">
        <f t="shared" ca="1" si="6"/>
        <v>-0.56926499118165774</v>
      </c>
      <c r="R23" s="28"/>
      <c r="S23" s="25">
        <f t="shared" ca="1" si="7"/>
        <v>882</v>
      </c>
      <c r="T23" s="5"/>
      <c r="U23" s="5"/>
      <c r="V23" s="5"/>
      <c r="W23" s="5"/>
      <c r="X23" s="5"/>
      <c r="Y23" s="5"/>
      <c r="Z23" s="5"/>
      <c r="AA23" s="5"/>
      <c r="AB23" s="5"/>
      <c r="AC23" s="6"/>
      <c r="AD23" s="30"/>
      <c r="AE23" s="6"/>
      <c r="AF23" s="18"/>
      <c r="AG23" s="6"/>
      <c r="AH23" s="6"/>
      <c r="AI23" s="6"/>
      <c r="AJ23" s="6"/>
      <c r="AK23" s="6"/>
      <c r="AL23" s="6"/>
      <c r="AM23" s="6"/>
      <c r="AN23" s="6"/>
    </row>
    <row r="24" spans="1:40" ht="12.75">
      <c r="A24" s="19" t="s">
        <v>18</v>
      </c>
      <c r="B24" s="20" t="str">
        <f ca="1">IFERROR(__xludf.DUMMYFUNCTION("IF(GOOGLEFINANCE(D24,""marketcap"")/1000000&gt;10000,""Large Cap"",IF(GOOGLEFINANCE(D24,""marketcap"")/1000000&gt;2000,""Mid Cap"",""Small Cap""))"),"Small Cap")</f>
        <v>Small Cap</v>
      </c>
      <c r="C24" s="21" t="str">
        <f ca="1">IFERROR(__xludf.DUMMYFUNCTION("GOOGLEFINANCE(D24,""Name"")"),"nCino Inc")</f>
        <v>nCino Inc</v>
      </c>
      <c r="D24" s="21" t="s">
        <v>49</v>
      </c>
      <c r="E24" s="10">
        <v>1500</v>
      </c>
      <c r="F24" s="22">
        <f ca="1">IFERROR(__xludf.DUMMYFUNCTION("GOOGLEFINANCE(D24,""price"")"),15.63)</f>
        <v>15.63</v>
      </c>
      <c r="G24" s="22">
        <f t="shared" ca="1" si="0"/>
        <v>23445</v>
      </c>
      <c r="H24" s="22">
        <v>15.15</v>
      </c>
      <c r="I24" s="26">
        <v>46092</v>
      </c>
      <c r="J24" s="24">
        <v>0</v>
      </c>
      <c r="K24" s="15">
        <f t="shared" ca="1" si="1"/>
        <v>1.1417058112894098E-2</v>
      </c>
      <c r="L24" s="15">
        <f t="shared" ca="1" si="2"/>
        <v>8.6650099139829358E-3</v>
      </c>
      <c r="M24" s="15">
        <f t="shared" ca="1" si="3"/>
        <v>8.6650099139829358E-3</v>
      </c>
      <c r="N24" s="22">
        <v>378.23</v>
      </c>
      <c r="O24" s="15">
        <f t="shared" ca="1" si="4"/>
        <v>0.10316474103058981</v>
      </c>
      <c r="P24" s="15">
        <f t="shared" ca="1" si="5"/>
        <v>3.1683168316831711E-2</v>
      </c>
      <c r="Q24" s="15">
        <f t="shared" ca="1" si="6"/>
        <v>-7.1481572713758101E-2</v>
      </c>
      <c r="R24" s="28"/>
      <c r="S24" s="25">
        <f t="shared" ca="1" si="7"/>
        <v>107</v>
      </c>
      <c r="T24" s="5"/>
      <c r="U24" s="5"/>
      <c r="V24" s="5"/>
      <c r="W24" s="5"/>
      <c r="X24" s="5"/>
      <c r="Y24" s="5"/>
      <c r="Z24" s="5"/>
      <c r="AA24" s="5"/>
      <c r="AB24" s="5"/>
      <c r="AC24" s="6"/>
      <c r="AD24" s="30"/>
      <c r="AE24" s="6"/>
      <c r="AF24" s="18"/>
      <c r="AG24" s="6"/>
      <c r="AH24" s="6"/>
      <c r="AI24" s="6"/>
      <c r="AJ24" s="6"/>
      <c r="AK24" s="6"/>
      <c r="AL24" s="6"/>
      <c r="AM24" s="6"/>
      <c r="AN24" s="6"/>
    </row>
    <row r="25" spans="1:40" ht="12.75">
      <c r="A25" s="19" t="s">
        <v>30</v>
      </c>
      <c r="B25" s="20" t="str">
        <f ca="1">IFERROR(__xludf.DUMMYFUNCTION("IF(GOOGLEFINANCE(D25,""marketcap"")/1000000&gt;10000,""Large Cap"",IF(GOOGLEFINANCE(D25,""marketcap"")/1000000&gt;2000,""Mid Cap"",""Small Cap""))"),"Large Cap")</f>
        <v>Large Cap</v>
      </c>
      <c r="C25" s="21" t="str">
        <f ca="1">IFERROR(__xludf.DUMMYFUNCTION("GOOGLEFINANCE(D25,""Name"")"),"NextEra Energy Inc")</f>
        <v>NextEra Energy Inc</v>
      </c>
      <c r="D25" s="21" t="s">
        <v>50</v>
      </c>
      <c r="E25" s="10">
        <v>716.14419999999996</v>
      </c>
      <c r="F25" s="22">
        <f ca="1">IFERROR(__xludf.DUMMYFUNCTION("GOOGLEFINANCE(D25,""price"")"),88.56)</f>
        <v>88.56</v>
      </c>
      <c r="G25" s="22">
        <f t="shared" ca="1" si="0"/>
        <v>63421.730351999999</v>
      </c>
      <c r="H25" s="22">
        <v>51.99</v>
      </c>
      <c r="I25" s="26">
        <v>45211</v>
      </c>
      <c r="J25" s="24">
        <v>3.0000000000000001E-3</v>
      </c>
      <c r="K25" s="15">
        <f t="shared" ca="1" si="1"/>
        <v>3.0884605717597928E-2</v>
      </c>
      <c r="L25" s="15">
        <f t="shared" ca="1" si="2"/>
        <v>2.343996256182693E-2</v>
      </c>
      <c r="M25" s="15">
        <f t="shared" ca="1" si="3"/>
        <v>2.0439962561826931E-2</v>
      </c>
      <c r="N25" s="22">
        <v>247.8</v>
      </c>
      <c r="O25" s="15">
        <f t="shared" ca="1" si="4"/>
        <v>0.68381759483454396</v>
      </c>
      <c r="P25" s="15">
        <f t="shared" ca="1" si="5"/>
        <v>0.70340450086555095</v>
      </c>
      <c r="Q25" s="15">
        <f t="shared" ca="1" si="6"/>
        <v>1.958690603100699E-2</v>
      </c>
      <c r="R25" s="28"/>
      <c r="S25" s="25">
        <f t="shared" ca="1" si="7"/>
        <v>988</v>
      </c>
      <c r="T25" s="5"/>
      <c r="U25" s="5"/>
      <c r="V25" s="5"/>
      <c r="W25" s="5"/>
      <c r="X25" s="5"/>
      <c r="Y25" s="5"/>
      <c r="Z25" s="5"/>
      <c r="AA25" s="5"/>
      <c r="AB25" s="5"/>
      <c r="AC25" s="6"/>
      <c r="AD25" s="30"/>
      <c r="AE25" s="6"/>
      <c r="AF25" s="18"/>
      <c r="AG25" s="6"/>
      <c r="AH25" s="6"/>
      <c r="AI25" s="6"/>
      <c r="AJ25" s="6"/>
      <c r="AK25" s="6"/>
      <c r="AL25" s="6"/>
      <c r="AM25" s="6"/>
      <c r="AN25" s="6"/>
    </row>
    <row r="26" spans="1:40" ht="12.75">
      <c r="A26" s="19" t="s">
        <v>18</v>
      </c>
      <c r="B26" s="20" t="str">
        <f ca="1">IFERROR(__xludf.DUMMYFUNCTION("IF(GOOGLEFINANCE(D26,""marketcap"")/1000000&gt;10000,""Large Cap"",IF(GOOGLEFINANCE(D26,""marketcap"")/1000000&gt;2000,""Mid Cap"",""Small Cap""))"),"Large Cap")</f>
        <v>Large Cap</v>
      </c>
      <c r="C26" s="21" t="str">
        <f ca="1">IFERROR(__xludf.DUMMYFUNCTION("GOOGLEFINANCE(D26,""Name"")"),"Omnicom Group Inc")</f>
        <v>Omnicom Group Inc</v>
      </c>
      <c r="D26" s="21" t="s">
        <v>51</v>
      </c>
      <c r="E26" s="10">
        <v>419.16910000000001</v>
      </c>
      <c r="F26" s="22">
        <f ca="1">IFERROR(__xludf.DUMMYFUNCTION("GOOGLEFINANCE(D26,""price"")"),73.09)</f>
        <v>73.09</v>
      </c>
      <c r="G26" s="22">
        <f t="shared" ca="1" si="0"/>
        <v>30637.069519000004</v>
      </c>
      <c r="H26" s="22">
        <v>78.39</v>
      </c>
      <c r="I26" s="26">
        <v>45446</v>
      </c>
      <c r="J26" s="24">
        <v>4.0000000000000002E-4</v>
      </c>
      <c r="K26" s="15">
        <f t="shared" ca="1" si="1"/>
        <v>1.4919394459680079E-2</v>
      </c>
      <c r="L26" s="15">
        <f t="shared" ca="1" si="2"/>
        <v>1.1323118409789697E-2</v>
      </c>
      <c r="M26" s="15">
        <f t="shared" ca="1" si="3"/>
        <v>1.0923118409789698E-2</v>
      </c>
      <c r="N26" s="22">
        <v>300.5</v>
      </c>
      <c r="O26" s="15">
        <f t="shared" ca="1" si="4"/>
        <v>0.38851913477537448</v>
      </c>
      <c r="P26" s="15">
        <f t="shared" ca="1" si="5"/>
        <v>-6.7610664625589956E-2</v>
      </c>
      <c r="Q26" s="15">
        <f t="shared" ca="1" si="6"/>
        <v>-0.45612979940096443</v>
      </c>
      <c r="R26" s="28"/>
      <c r="S26" s="25">
        <f t="shared" ca="1" si="7"/>
        <v>753</v>
      </c>
      <c r="T26" s="5"/>
      <c r="U26" s="5"/>
      <c r="V26" s="5"/>
      <c r="W26" s="5"/>
      <c r="X26" s="5"/>
      <c r="Y26" s="5"/>
      <c r="Z26" s="5"/>
      <c r="AA26" s="5"/>
      <c r="AB26" s="5"/>
      <c r="AC26" s="6"/>
      <c r="AD26" s="30"/>
      <c r="AE26" s="6"/>
      <c r="AF26" s="18"/>
      <c r="AG26" s="6"/>
      <c r="AH26" s="6"/>
      <c r="AI26" s="6"/>
      <c r="AJ26" s="6"/>
      <c r="AK26" s="6"/>
      <c r="AL26" s="6"/>
      <c r="AM26" s="6"/>
      <c r="AN26" s="6"/>
    </row>
    <row r="27" spans="1:40" ht="12.75">
      <c r="A27" s="19" t="s">
        <v>34</v>
      </c>
      <c r="B27" s="20" t="str">
        <f ca="1">IFERROR(__xludf.DUMMYFUNCTION("IF(GOOGLEFINANCE(D27,""marketcap"")/1000000&gt;10000,""Large Cap"",IF(GOOGLEFINANCE(D27,""marketcap"")/1000000&gt;2000,""Mid Cap"",""Small Cap""))"),"Large Cap")</f>
        <v>Large Cap</v>
      </c>
      <c r="C27" s="21" t="str">
        <f ca="1">IFERROR(__xludf.DUMMYFUNCTION("GOOGLEFINANCE(D27,""Name"")"),"Pfizer Inc")</f>
        <v>Pfizer Inc</v>
      </c>
      <c r="D27" s="21" t="s">
        <v>52</v>
      </c>
      <c r="E27" s="10">
        <v>908.80859999999996</v>
      </c>
      <c r="F27" s="22">
        <f ca="1">IFERROR(__xludf.DUMMYFUNCTION("GOOGLEFINANCE(D27,""price"")"),24.29)</f>
        <v>24.29</v>
      </c>
      <c r="G27" s="22">
        <f t="shared" ca="1" si="0"/>
        <v>22074.960894</v>
      </c>
      <c r="H27" s="22">
        <v>27.5</v>
      </c>
      <c r="I27" s="26">
        <v>45331</v>
      </c>
      <c r="J27" s="24">
        <v>2.8999999999999998E-3</v>
      </c>
      <c r="K27" s="15">
        <f t="shared" ca="1" si="1"/>
        <v>1.0749887454325554E-2</v>
      </c>
      <c r="L27" s="15">
        <f t="shared" ca="1" si="2"/>
        <v>8.1586587757430419E-3</v>
      </c>
      <c r="M27" s="15">
        <f t="shared" ca="1" si="3"/>
        <v>5.2586587757430421E-3</v>
      </c>
      <c r="N27" s="22">
        <v>284</v>
      </c>
      <c r="O27" s="15">
        <f t="shared" ca="1" si="4"/>
        <v>0.46919014084507049</v>
      </c>
      <c r="P27" s="15">
        <f t="shared" ca="1" si="5"/>
        <v>-0.11672727272727279</v>
      </c>
      <c r="Q27" s="15">
        <f t="shared" ca="1" si="6"/>
        <v>-0.58591741357234328</v>
      </c>
      <c r="R27" s="28"/>
      <c r="S27" s="25">
        <f t="shared" ca="1" si="7"/>
        <v>868</v>
      </c>
      <c r="T27" s="5"/>
      <c r="U27" s="5"/>
      <c r="V27" s="6"/>
      <c r="W27" s="36"/>
      <c r="X27" s="6"/>
      <c r="Y27" s="6"/>
      <c r="Z27" s="6"/>
      <c r="AA27" s="37"/>
      <c r="AB27" s="5"/>
      <c r="AC27" s="6"/>
      <c r="AD27" s="29"/>
      <c r="AE27" s="6"/>
      <c r="AF27" s="18"/>
      <c r="AG27" s="6"/>
      <c r="AH27" s="6"/>
      <c r="AI27" s="6"/>
      <c r="AJ27" s="6"/>
      <c r="AK27" s="6"/>
      <c r="AL27" s="6"/>
      <c r="AM27" s="6"/>
      <c r="AN27" s="6"/>
    </row>
    <row r="28" spans="1:40" ht="12.75">
      <c r="A28" s="19" t="s">
        <v>34</v>
      </c>
      <c r="B28" s="20" t="str">
        <f ca="1">IFERROR(__xludf.DUMMYFUNCTION("IF(GOOGLEFINANCE(D28,""marketcap"")/1000000&gt;10000,""Large Cap"",IF(GOOGLEFINANCE(D28,""marketcap"")/1000000&gt;2000,""Mid Cap"",""Small Cap""))"),"Large Cap")</f>
        <v>Large Cap</v>
      </c>
      <c r="C28" s="21" t="str">
        <f ca="1">IFERROR(__xludf.DUMMYFUNCTION("GOOGLEFINANCE(D28,""Name"")"),"Regeneron Pharmaceuticals Inc")</f>
        <v>Regeneron Pharmaceuticals Inc</v>
      </c>
      <c r="D28" s="21" t="s">
        <v>53</v>
      </c>
      <c r="E28" s="10">
        <v>25.145800000000001</v>
      </c>
      <c r="F28" s="22">
        <f ca="1">IFERROR(__xludf.DUMMYFUNCTION("GOOGLEFINANCE(D28,""price"")"),632.9)</f>
        <v>632.9</v>
      </c>
      <c r="G28" s="22">
        <f t="shared" ca="1" si="0"/>
        <v>15914.776820000001</v>
      </c>
      <c r="H28" s="22">
        <v>741.48</v>
      </c>
      <c r="I28" s="26">
        <v>44893</v>
      </c>
      <c r="J28" s="24">
        <v>1.6999999999999999E-3</v>
      </c>
      <c r="K28" s="15">
        <f t="shared" ca="1" si="1"/>
        <v>7.750050407663891E-3</v>
      </c>
      <c r="L28" s="15">
        <f t="shared" ca="1" si="2"/>
        <v>5.8819236052090346E-3</v>
      </c>
      <c r="M28" s="15">
        <f t="shared" ca="1" si="3"/>
        <v>4.1819236052090345E-3</v>
      </c>
      <c r="N28" s="22">
        <v>228.69</v>
      </c>
      <c r="O28" s="15">
        <f t="shared" ca="1" si="4"/>
        <v>0.82452227906773357</v>
      </c>
      <c r="P28" s="15">
        <f t="shared" ca="1" si="5"/>
        <v>-0.14643685601769441</v>
      </c>
      <c r="Q28" s="15">
        <f t="shared" ca="1" si="6"/>
        <v>-0.97095913508542797</v>
      </c>
      <c r="R28" s="28" t="s">
        <v>20</v>
      </c>
      <c r="S28" s="16">
        <f t="shared" ca="1" si="7"/>
        <v>1306</v>
      </c>
      <c r="T28" s="5"/>
      <c r="U28" s="5"/>
      <c r="V28" s="6"/>
      <c r="W28" s="38"/>
      <c r="X28" s="6"/>
      <c r="Y28" s="6"/>
      <c r="Z28" s="6"/>
      <c r="AA28" s="37"/>
      <c r="AB28" s="5"/>
      <c r="AC28" s="6"/>
      <c r="AD28" s="30"/>
      <c r="AE28" s="6"/>
      <c r="AF28" s="18"/>
      <c r="AG28" s="6"/>
      <c r="AH28" s="6"/>
      <c r="AI28" s="6"/>
      <c r="AJ28" s="6"/>
      <c r="AK28" s="6"/>
      <c r="AL28" s="6"/>
      <c r="AM28" s="6"/>
      <c r="AN28" s="6"/>
    </row>
    <row r="29" spans="1:40" ht="12.75">
      <c r="A29" s="19" t="s">
        <v>22</v>
      </c>
      <c r="B29" s="20" t="str">
        <f ca="1">IFERROR(__xludf.DUMMYFUNCTION("IF(GOOGLEFINANCE(D29,""marketcap"")/1000000&gt;10000,""Large Cap"",IF(GOOGLEFINANCE(D29,""marketcap"")/1000000&gt;2000,""Mid Cap"",""Small Cap""))"),"Large Cap")</f>
        <v>Large Cap</v>
      </c>
      <c r="C29" s="21" t="str">
        <f ca="1">IFERROR(__xludf.DUMMYFUNCTION("GOOGLEFINANCE(D29,""Name"")"),"J.M. Smucker Co")</f>
        <v>J.M. Smucker Co</v>
      </c>
      <c r="D29" s="21" t="s">
        <v>54</v>
      </c>
      <c r="E29" s="10">
        <v>306.93740000000003</v>
      </c>
      <c r="F29" s="22">
        <f ca="1">IFERROR(__xludf.DUMMYFUNCTION("GOOGLEFINANCE(D29,""price"")"),115.64)</f>
        <v>115.64</v>
      </c>
      <c r="G29" s="22">
        <f t="shared" ca="1" si="0"/>
        <v>35494.240936000002</v>
      </c>
      <c r="H29" s="22">
        <v>111.42</v>
      </c>
      <c r="I29" s="26">
        <v>45261</v>
      </c>
      <c r="J29" s="24">
        <v>2.0000000000000001E-4</v>
      </c>
      <c r="K29" s="15">
        <f t="shared" ca="1" si="1"/>
        <v>1.7284700850474583E-2</v>
      </c>
      <c r="L29" s="15">
        <f t="shared" ca="1" si="2"/>
        <v>1.3118274668361653E-2</v>
      </c>
      <c r="M29" s="15">
        <f t="shared" ca="1" si="3"/>
        <v>1.2918274668361653E-2</v>
      </c>
      <c r="N29" s="22">
        <v>263.04000000000002</v>
      </c>
      <c r="O29" s="15">
        <f t="shared" ca="1" si="4"/>
        <v>0.58626064476885631</v>
      </c>
      <c r="P29" s="15">
        <f t="shared" ca="1" si="5"/>
        <v>3.7874708310895677E-2</v>
      </c>
      <c r="Q29" s="15">
        <f t="shared" ca="1" si="6"/>
        <v>-0.54838593645796063</v>
      </c>
      <c r="R29" s="28"/>
      <c r="S29" s="25">
        <f t="shared" ca="1" si="7"/>
        <v>938</v>
      </c>
      <c r="T29" s="5"/>
      <c r="U29" s="5"/>
      <c r="V29" s="6"/>
      <c r="W29" s="36"/>
      <c r="X29" s="6"/>
      <c r="Y29" s="6"/>
      <c r="Z29" s="6"/>
      <c r="AA29" s="37"/>
      <c r="AB29" s="5"/>
      <c r="AC29" s="6"/>
      <c r="AD29" s="29"/>
      <c r="AE29" s="6"/>
      <c r="AF29" s="18"/>
      <c r="AG29" s="6"/>
      <c r="AH29" s="6"/>
      <c r="AI29" s="6"/>
      <c r="AJ29" s="6"/>
      <c r="AK29" s="6"/>
      <c r="AL29" s="6"/>
      <c r="AM29" s="6"/>
      <c r="AN29" s="6"/>
    </row>
    <row r="30" spans="1:40" ht="12.75">
      <c r="A30" s="19" t="s">
        <v>27</v>
      </c>
      <c r="B30" s="20" t="str">
        <f ca="1">IFERROR(__xludf.DUMMYFUNCTION("IF(GOOGLEFINANCE(D30,""marketcap"")/1000000&gt;10000,""Large Cap"",IF(GOOGLEFINANCE(D30,""marketcap"")/1000000&gt;2000,""Mid Cap"",""Small Cap""))"),"Large Cap")</f>
        <v>Large Cap</v>
      </c>
      <c r="C30" s="21" t="str">
        <f ca="1">IFERROR(__xludf.DUMMYFUNCTION("GOOGLEFINANCE(D30,""Name"")"),"S&amp;P Global Inc")</f>
        <v>S&amp;P Global Inc</v>
      </c>
      <c r="D30" s="21" t="s">
        <v>55</v>
      </c>
      <c r="E30" s="10">
        <v>95.890500000000003</v>
      </c>
      <c r="F30" s="22">
        <f ca="1">IFERROR(__xludf.DUMMYFUNCTION("GOOGLEFINANCE(D30,""price"")"),408.16)</f>
        <v>408.16</v>
      </c>
      <c r="G30" s="22">
        <f t="shared" ca="1" si="0"/>
        <v>39138.666480000007</v>
      </c>
      <c r="H30" s="22">
        <v>408</v>
      </c>
      <c r="I30" s="26">
        <v>45250</v>
      </c>
      <c r="J30" s="24">
        <v>2.7000000000000001E-3</v>
      </c>
      <c r="K30" s="15">
        <f t="shared" ca="1" si="1"/>
        <v>1.9059433980095557E-2</v>
      </c>
      <c r="L30" s="15">
        <f t="shared" ca="1" si="2"/>
        <v>1.4465213609267292E-2</v>
      </c>
      <c r="M30" s="15">
        <f t="shared" ca="1" si="3"/>
        <v>1.1765213609267293E-2</v>
      </c>
      <c r="N30" s="22">
        <v>259.22000000000003</v>
      </c>
      <c r="O30" s="15">
        <f t="shared" ca="1" si="4"/>
        <v>0.60963660211403425</v>
      </c>
      <c r="P30" s="15">
        <f t="shared" ca="1" si="5"/>
        <v>3.9215686274518546E-4</v>
      </c>
      <c r="Q30" s="15">
        <f t="shared" ca="1" si="6"/>
        <v>-0.60924444525128907</v>
      </c>
      <c r="R30" s="28"/>
      <c r="S30" s="25">
        <f t="shared" ca="1" si="7"/>
        <v>949</v>
      </c>
      <c r="T30" s="5"/>
      <c r="U30" s="5"/>
      <c r="V30" s="6"/>
      <c r="W30" s="36"/>
      <c r="X30" s="6"/>
      <c r="Y30" s="6"/>
      <c r="Z30" s="6"/>
      <c r="AA30" s="37"/>
      <c r="AB30" s="5"/>
      <c r="AC30" s="6"/>
      <c r="AD30" s="29"/>
      <c r="AE30" s="6"/>
      <c r="AF30" s="18"/>
      <c r="AG30" s="6"/>
      <c r="AH30" s="6"/>
      <c r="AI30" s="6"/>
      <c r="AJ30" s="6"/>
      <c r="AK30" s="6"/>
      <c r="AL30" s="6"/>
      <c r="AM30" s="6"/>
      <c r="AN30" s="6"/>
    </row>
    <row r="31" spans="1:40" ht="12.75">
      <c r="A31" s="19" t="s">
        <v>30</v>
      </c>
      <c r="B31" s="20" t="str">
        <f ca="1">IFERROR(__xludf.DUMMYFUNCTION("IF(GOOGLEFINANCE(D31,""marketcap"")/1000000&gt;10000,""Large Cap"",IF(GOOGLEFINANCE(D31,""marketcap"")/1000000&gt;2000,""Mid Cap"",""Small Cap""))"),"Large Cap")</f>
        <v>Large Cap</v>
      </c>
      <c r="C31" s="21" t="str">
        <f ca="1">IFERROR(__xludf.DUMMYFUNCTION("GOOGLEFINANCE(D31,""Name"")"),"Smurfit WestRock PLC")</f>
        <v>Smurfit WestRock PLC</v>
      </c>
      <c r="D31" s="21" t="s">
        <v>56</v>
      </c>
      <c r="E31" s="10">
        <v>564</v>
      </c>
      <c r="F31" s="22">
        <f ca="1">IFERROR(__xludf.DUMMYFUNCTION("GOOGLEFINANCE(D31,""price"")"),46.98)</f>
        <v>46.98</v>
      </c>
      <c r="G31" s="22">
        <f t="shared" ca="1" si="0"/>
        <v>26496.719999999998</v>
      </c>
      <c r="H31" s="22">
        <v>56.64</v>
      </c>
      <c r="I31" s="26">
        <v>45618</v>
      </c>
      <c r="J31" s="39">
        <v>5.0000000000000001E-4</v>
      </c>
      <c r="K31" s="15">
        <f t="shared" ca="1" si="1"/>
        <v>1.2903160249139827E-2</v>
      </c>
      <c r="L31" s="15">
        <f t="shared" ca="1" si="2"/>
        <v>9.7928915115389169E-3</v>
      </c>
      <c r="M31" s="15">
        <f t="shared" ca="1" si="3"/>
        <v>9.2928915115389164E-3</v>
      </c>
      <c r="N31" s="22">
        <v>342.28</v>
      </c>
      <c r="O31" s="15">
        <f t="shared" ca="1" si="4"/>
        <v>0.21903120252424935</v>
      </c>
      <c r="P31" s="15">
        <f t="shared" ca="1" si="5"/>
        <v>-0.17055084745762716</v>
      </c>
      <c r="Q31" s="15">
        <f t="shared" ca="1" si="6"/>
        <v>-0.38958204998187651</v>
      </c>
      <c r="R31" s="28"/>
      <c r="S31" s="40">
        <f t="shared" ca="1" si="7"/>
        <v>581</v>
      </c>
      <c r="T31" s="5"/>
      <c r="U31" s="5"/>
      <c r="V31" s="6"/>
      <c r="W31" s="38"/>
      <c r="X31" s="6"/>
      <c r="Y31" s="6"/>
      <c r="Z31" s="6"/>
      <c r="AA31" s="37"/>
      <c r="AB31" s="5"/>
      <c r="AC31" s="6"/>
      <c r="AD31" s="30"/>
      <c r="AE31" s="6"/>
      <c r="AF31" s="18"/>
      <c r="AG31" s="6"/>
      <c r="AH31" s="6"/>
      <c r="AI31" s="6"/>
      <c r="AJ31" s="6"/>
      <c r="AK31" s="6"/>
      <c r="AL31" s="6"/>
      <c r="AM31" s="6"/>
      <c r="AN31" s="6"/>
    </row>
    <row r="32" spans="1:40" ht="12.75">
      <c r="A32" s="19" t="s">
        <v>18</v>
      </c>
      <c r="B32" s="20" t="str">
        <f ca="1">IFERROR(__xludf.DUMMYFUNCTION("IF(GOOGLEFINANCE(D32,""marketcap"")/1000000&gt;10000,""Large Cap"",IF(GOOGLEFINANCE(D32,""marketcap"")/1000000&gt;2000,""Mid Cap"",""Small Cap""))"),"Large Cap")</f>
        <v>Large Cap</v>
      </c>
      <c r="C32" s="21" t="str">
        <f ca="1">IFERROR(__xludf.DUMMYFUNCTION("GOOGLEFINANCE(D32,""Name"")"),"Twilio Inc")</f>
        <v>Twilio Inc</v>
      </c>
      <c r="D32" s="21" t="s">
        <v>57</v>
      </c>
      <c r="E32" s="10">
        <v>725</v>
      </c>
      <c r="F32" s="22">
        <f ca="1">IFERROR(__xludf.DUMMYFUNCTION("GOOGLEFINANCE(D32,""price"")"),191.57)</f>
        <v>191.57</v>
      </c>
      <c r="G32" s="22">
        <f t="shared" ca="1" si="0"/>
        <v>138888.25</v>
      </c>
      <c r="H32" s="22">
        <v>53</v>
      </c>
      <c r="I32" s="26">
        <v>45226</v>
      </c>
      <c r="J32" s="24">
        <v>2.0000000000000001E-4</v>
      </c>
      <c r="K32" s="15">
        <f t="shared" ca="1" si="1"/>
        <v>6.7634686348823359E-2</v>
      </c>
      <c r="L32" s="15">
        <f t="shared" ca="1" si="2"/>
        <v>5.1331544601652394E-2</v>
      </c>
      <c r="M32" s="15">
        <f t="shared" ca="1" si="3"/>
        <v>5.1131544601652396E-2</v>
      </c>
      <c r="N32" s="22">
        <v>234.36</v>
      </c>
      <c r="O32" s="15">
        <f t="shared" ca="1" si="4"/>
        <v>0.78038061102577228</v>
      </c>
      <c r="P32" s="15">
        <f t="shared" ca="1" si="5"/>
        <v>2.6145283018867924</v>
      </c>
      <c r="Q32" s="15">
        <f t="shared" ca="1" si="6"/>
        <v>1.8341476908610201</v>
      </c>
      <c r="R32" s="28"/>
      <c r="S32" s="25">
        <f t="shared" ca="1" si="7"/>
        <v>973</v>
      </c>
      <c r="T32" s="5"/>
      <c r="U32" s="5"/>
      <c r="V32" s="6"/>
      <c r="W32" s="36"/>
      <c r="X32" s="6"/>
      <c r="Y32" s="6"/>
      <c r="Z32" s="6"/>
      <c r="AA32" s="37"/>
      <c r="AB32" s="5"/>
      <c r="AC32" s="6"/>
      <c r="AD32" s="29"/>
      <c r="AE32" s="6"/>
      <c r="AF32" s="18"/>
      <c r="AG32" s="6"/>
      <c r="AH32" s="6"/>
      <c r="AI32" s="6"/>
      <c r="AJ32" s="6"/>
      <c r="AK32" s="6"/>
      <c r="AL32" s="6"/>
      <c r="AM32" s="6"/>
      <c r="AN32" s="6"/>
    </row>
    <row r="33" spans="1:40" ht="12.75">
      <c r="A33" s="19" t="s">
        <v>34</v>
      </c>
      <c r="B33" s="20" t="str">
        <f ca="1">IFERROR(__xludf.DUMMYFUNCTION("IF(GOOGLEFINANCE(D33,""marketcap"")/1000000&gt;10000,""Large Cap"",IF(GOOGLEFINANCE(D33,""marketcap"")/1000000&gt;2000,""Mid Cap"",""Small Cap""))"),"Mid Cap")</f>
        <v>Mid Cap</v>
      </c>
      <c r="C33" s="21" t="str">
        <f ca="1">IFERROR(__xludf.DUMMYFUNCTION("GOOGLEFINANCE(D33,""Name"")"),"Universal Health Services Inc")</f>
        <v>Universal Health Services Inc</v>
      </c>
      <c r="D33" s="21" t="s">
        <v>58</v>
      </c>
      <c r="E33" s="10">
        <v>281.50380000000001</v>
      </c>
      <c r="F33" s="22">
        <f ca="1">IFERROR(__xludf.DUMMYFUNCTION("GOOGLEFINANCE(D33,""price"")"),145.69)</f>
        <v>145.69</v>
      </c>
      <c r="G33" s="22">
        <f t="shared" ca="1" si="0"/>
        <v>41012.288622</v>
      </c>
      <c r="H33" s="22">
        <v>132.13</v>
      </c>
      <c r="I33" s="26">
        <v>45086</v>
      </c>
      <c r="J33" s="24">
        <v>2.0000000000000001E-4</v>
      </c>
      <c r="K33" s="15">
        <f t="shared" ca="1" si="1"/>
        <v>1.9971835467697138E-2</v>
      </c>
      <c r="L33" s="15">
        <f t="shared" ca="1" si="2"/>
        <v>1.5157683408179122E-2</v>
      </c>
      <c r="M33" s="15">
        <f t="shared" ca="1" si="3"/>
        <v>1.4957683408179122E-2</v>
      </c>
      <c r="N33" s="22">
        <v>246.07</v>
      </c>
      <c r="O33" s="15">
        <f t="shared" ca="1" si="4"/>
        <v>0.69565570772544394</v>
      </c>
      <c r="P33" s="15">
        <f t="shared" ca="1" si="5"/>
        <v>0.10262620146825108</v>
      </c>
      <c r="Q33" s="15">
        <f t="shared" ca="1" si="6"/>
        <v>-0.59302950625719286</v>
      </c>
      <c r="R33" s="28"/>
      <c r="S33" s="25">
        <f t="shared" ca="1" si="7"/>
        <v>1113</v>
      </c>
      <c r="T33" s="5"/>
      <c r="U33" s="5"/>
      <c r="V33" s="6"/>
      <c r="W33" s="36"/>
      <c r="X33" s="6"/>
      <c r="Y33" s="6"/>
      <c r="Z33" s="6"/>
      <c r="AA33" s="37"/>
      <c r="AB33" s="5"/>
      <c r="AC33" s="6"/>
      <c r="AD33" s="29"/>
      <c r="AE33" s="6"/>
      <c r="AF33" s="18"/>
      <c r="AG33" s="6"/>
      <c r="AH33" s="6"/>
      <c r="AI33" s="6"/>
      <c r="AJ33" s="6"/>
      <c r="AK33" s="6"/>
      <c r="AL33" s="6"/>
      <c r="AM33" s="6"/>
      <c r="AN33" s="6"/>
    </row>
    <row r="34" spans="1:40" ht="12.75">
      <c r="A34" s="19" t="s">
        <v>27</v>
      </c>
      <c r="B34" s="20" t="str">
        <f ca="1">IFERROR(__xludf.DUMMYFUNCTION("IF(GOOGLEFINANCE(D34,""marketcap"")/1000000&gt;10000,""Large Cap"",IF(GOOGLEFINANCE(D34,""marketcap"")/1000000&gt;2000,""Mid Cap"",""Small Cap""))"),"Large Cap")</f>
        <v>Large Cap</v>
      </c>
      <c r="C34" s="21" t="str">
        <f ca="1">IFERROR(__xludf.DUMMYFUNCTION("GOOGLEFINANCE(D34,""Name"")"),"UMB Financial Corp")</f>
        <v>UMB Financial Corp</v>
      </c>
      <c r="D34" s="21" t="s">
        <v>59</v>
      </c>
      <c r="E34" s="10">
        <v>504.49900000000002</v>
      </c>
      <c r="F34" s="22">
        <f ca="1">IFERROR(__xludf.DUMMYFUNCTION("GOOGLEFINANCE(D34,""price"")"),144.91)</f>
        <v>144.91</v>
      </c>
      <c r="G34" s="22">
        <f t="shared" ca="1" si="0"/>
        <v>73106.950089999998</v>
      </c>
      <c r="H34" s="22">
        <v>121.67</v>
      </c>
      <c r="I34" s="23">
        <v>45204</v>
      </c>
      <c r="J34" s="24">
        <v>0</v>
      </c>
      <c r="K34" s="15">
        <f t="shared" ca="1" si="1"/>
        <v>3.5601036367412173E-2</v>
      </c>
      <c r="L34" s="15">
        <f t="shared" ca="1" si="2"/>
        <v>2.7019511508249335E-2</v>
      </c>
      <c r="M34" s="15">
        <f t="shared" ca="1" si="3"/>
        <v>2.7019511508249335E-2</v>
      </c>
      <c r="N34" s="22">
        <v>347.86</v>
      </c>
      <c r="O34" s="15">
        <f t="shared" ca="1" si="4"/>
        <v>0.19947680101190124</v>
      </c>
      <c r="P34" s="15">
        <f t="shared" ca="1" si="5"/>
        <v>0.19100846552149253</v>
      </c>
      <c r="Q34" s="15">
        <f t="shared" ca="1" si="6"/>
        <v>-8.4683354904087071E-3</v>
      </c>
      <c r="R34" s="22"/>
      <c r="S34" s="25">
        <f t="shared" ca="1" si="7"/>
        <v>995</v>
      </c>
      <c r="T34" s="5"/>
      <c r="U34" s="5"/>
      <c r="V34" s="5"/>
      <c r="W34" s="5"/>
      <c r="X34" s="5"/>
      <c r="Y34" s="5"/>
      <c r="Z34" s="5"/>
      <c r="AA34" s="5"/>
      <c r="AB34" s="5"/>
      <c r="AC34" s="6"/>
      <c r="AD34" s="29"/>
      <c r="AE34" s="6"/>
      <c r="AF34" s="18"/>
      <c r="AG34" s="6"/>
      <c r="AH34" s="6"/>
      <c r="AI34" s="6"/>
      <c r="AJ34" s="6"/>
      <c r="AK34" s="6"/>
      <c r="AL34" s="6"/>
      <c r="AM34" s="6"/>
      <c r="AN34" s="6"/>
    </row>
    <row r="35" spans="1:40" ht="12.75">
      <c r="A35" s="41" t="s">
        <v>60</v>
      </c>
      <c r="B35" s="42" t="s">
        <v>60</v>
      </c>
      <c r="C35" s="9" t="s">
        <v>60</v>
      </c>
      <c r="D35" s="9" t="s">
        <v>61</v>
      </c>
      <c r="E35" s="8"/>
      <c r="F35" s="42"/>
      <c r="G35" s="11">
        <v>33.549999999999997</v>
      </c>
      <c r="H35" s="14"/>
      <c r="I35" s="42"/>
      <c r="J35" s="15"/>
      <c r="K35" s="14"/>
      <c r="L35" s="14"/>
      <c r="M35" s="14"/>
      <c r="N35" s="42"/>
      <c r="O35" s="42"/>
      <c r="P35" s="42"/>
      <c r="Q35" s="42"/>
      <c r="R35" s="42"/>
      <c r="S35" s="43"/>
      <c r="T35" s="37"/>
      <c r="U35" s="5"/>
      <c r="V35" s="6"/>
      <c r="X35" s="6"/>
      <c r="Y35" s="6"/>
      <c r="Z35" s="6"/>
      <c r="AA35" s="37"/>
      <c r="AB35" s="5"/>
      <c r="AC35" s="6"/>
      <c r="AE35" s="6"/>
      <c r="AF35" s="18"/>
      <c r="AG35" s="6"/>
      <c r="AH35" s="6"/>
      <c r="AI35" s="6"/>
      <c r="AJ35" s="6"/>
      <c r="AK35" s="6"/>
      <c r="AL35" s="6"/>
      <c r="AM35" s="6"/>
      <c r="AN35" s="6"/>
    </row>
    <row r="36" spans="1:40" ht="12.75">
      <c r="A36" s="19" t="s">
        <v>62</v>
      </c>
      <c r="B36" s="20" t="s">
        <v>63</v>
      </c>
      <c r="C36" s="21" t="str">
        <f ca="1">IFERROR(__xludf.DUMMYFUNCTION("GOOGLEFINANCE(D36,""Name"")"),"iShares Russell 3000 ETF")</f>
        <v>iShares Russell 3000 ETF</v>
      </c>
      <c r="D36" s="21" t="s">
        <v>64</v>
      </c>
      <c r="E36" s="44">
        <f>1167.0996+34+129+233</f>
        <v>1563.0996</v>
      </c>
      <c r="F36" s="22">
        <f ca="1">IFERROR(__xludf.DUMMYFUNCTION("GOOGLEFINANCE(D36,""price"")"),417.25)</f>
        <v>417.25</v>
      </c>
      <c r="G36" s="45">
        <f ca="1">F36*E36</f>
        <v>652203.30810000002</v>
      </c>
      <c r="H36" s="15">
        <f ca="1">G36/G37</f>
        <v>0.24104406297455588</v>
      </c>
      <c r="I36" s="22"/>
      <c r="J36" s="15"/>
      <c r="K36" s="15"/>
      <c r="L36" s="15"/>
      <c r="M36" s="15"/>
      <c r="N36" s="15"/>
      <c r="O36" s="15"/>
      <c r="P36" s="15"/>
      <c r="Q36" s="15"/>
      <c r="R36" s="28"/>
      <c r="S36" s="43"/>
      <c r="T36" s="6"/>
      <c r="U36" s="6"/>
      <c r="V36" s="6"/>
      <c r="X36" s="6"/>
      <c r="Y36" s="6"/>
      <c r="Z36" s="6"/>
      <c r="AA36" s="6"/>
      <c r="AB36" s="6"/>
      <c r="AC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spans="1:40" ht="12.75">
      <c r="A37" s="46" t="s">
        <v>65</v>
      </c>
      <c r="B37" s="47">
        <f ca="1">COUNTA(B2:B34)</f>
        <v>33</v>
      </c>
      <c r="C37" s="48" t="s">
        <v>66</v>
      </c>
      <c r="D37" s="48"/>
      <c r="E37" s="47"/>
      <c r="F37" s="47"/>
      <c r="G37" s="49">
        <f ca="1">SUM($G$2:$G$36)</f>
        <v>2705743.0913319997</v>
      </c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0"/>
      <c r="W37" s="6"/>
      <c r="AA37" s="6"/>
      <c r="AB37" s="6"/>
      <c r="AC37" s="6"/>
      <c r="AD37" s="51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spans="1:40" ht="12.7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T38" s="28"/>
      <c r="U38" s="28"/>
      <c r="V38" s="28"/>
      <c r="W38" s="6"/>
      <c r="X38" s="6"/>
      <c r="Y38" s="6"/>
      <c r="Z38" s="6"/>
      <c r="AA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spans="1:40" ht="13.15">
      <c r="B39" s="52">
        <v>46115</v>
      </c>
      <c r="C39" s="53" t="s">
        <v>67</v>
      </c>
      <c r="E39" s="28" t="s">
        <v>68</v>
      </c>
      <c r="F39" s="22">
        <f ca="1">AVERAGE(G8:G34)</f>
        <v>59151.879399851852</v>
      </c>
      <c r="T39" s="28"/>
      <c r="U39" s="28"/>
      <c r="V39" s="28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spans="1:40" ht="12.75">
      <c r="A40" s="28" t="s">
        <v>69</v>
      </c>
      <c r="B40" s="28"/>
      <c r="C40" s="28"/>
      <c r="D40" s="28"/>
      <c r="E40" s="28" t="s">
        <v>70</v>
      </c>
      <c r="F40" s="15">
        <f ca="1">AVERAGE(K8:K34)</f>
        <v>2.8805307937513833E-2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spans="1:40" ht="12.7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40" ht="12.75">
      <c r="A42" s="28"/>
      <c r="B42" s="28"/>
      <c r="C42" s="28"/>
      <c r="D42" s="54" t="s">
        <v>71</v>
      </c>
      <c r="E42" s="54" t="s">
        <v>72</v>
      </c>
      <c r="F42" s="54" t="s">
        <v>73</v>
      </c>
      <c r="G42" s="54" t="s">
        <v>74</v>
      </c>
      <c r="H42" s="54" t="s">
        <v>3</v>
      </c>
      <c r="I42" s="54"/>
      <c r="J42" s="54" t="s">
        <v>75</v>
      </c>
      <c r="K42" s="54" t="s">
        <v>76</v>
      </c>
      <c r="L42" s="54"/>
      <c r="M42" s="54" t="s">
        <v>77</v>
      </c>
      <c r="N42" s="54"/>
      <c r="O42" s="54"/>
      <c r="P42" s="54"/>
      <c r="Q42" s="54" t="s">
        <v>78</v>
      </c>
      <c r="R42" s="54" t="s">
        <v>79</v>
      </c>
      <c r="S42" s="54" t="s">
        <v>8</v>
      </c>
      <c r="T42" s="54" t="s">
        <v>80</v>
      </c>
      <c r="U42" s="54" t="s">
        <v>81</v>
      </c>
      <c r="V42" s="54" t="s">
        <v>82</v>
      </c>
    </row>
    <row r="43" spans="1:40" ht="12.75">
      <c r="A43" s="28"/>
      <c r="D43" s="55" t="s">
        <v>18</v>
      </c>
      <c r="E43" s="42" t="str">
        <f ca="1">IFERROR(__xludf.DUMMYFUNCTION("iferror(IF(GOOGLEFINANCE(F43,""marketcap"")/1000000&gt;10000,""Large Cap"",IF(GOOGLEFINANCE(F43,""marketcap"")/1000000&gt;2000,""Mid Cap"",""Small Cap"")), """")"),"")</f>
        <v/>
      </c>
      <c r="F43" s="56"/>
      <c r="G43" s="57">
        <f t="shared" ref="G43:G46" ca="1" si="8">J43*($G$37-$G$36-$G$35)</f>
        <v>0</v>
      </c>
      <c r="H43" s="58">
        <f t="shared" ref="H43:H46" ca="1" si="9">IFERROR(ROUNDUP(G43/K43,0),0)</f>
        <v>0</v>
      </c>
      <c r="I43" s="28"/>
      <c r="J43" s="59"/>
      <c r="K43" s="11">
        <f ca="1">IFERROR(__xludf.DUMMYFUNCTION("IFERROR(GOOGLEFINANCE(F43,""price""),0)"),0)</f>
        <v>0</v>
      </c>
      <c r="L43" s="42"/>
      <c r="M43" s="11">
        <f t="shared" ref="M43:M46" ca="1" si="10">K43*H43</f>
        <v>0</v>
      </c>
      <c r="N43" s="11"/>
      <c r="O43" s="11"/>
      <c r="P43" s="11"/>
      <c r="Q43" s="11">
        <f t="shared" ref="Q43:Q46" si="11">IFERROR(VLOOKUP(F43,$D$2:$R$34,4,FALSE), 0)</f>
        <v>0</v>
      </c>
      <c r="R43" s="11">
        <f t="shared" ref="R43:R46" ca="1" si="12">M43+IFERROR(Q43,0)</f>
        <v>0</v>
      </c>
      <c r="S43" s="60"/>
      <c r="T43" s="61">
        <f t="shared" ref="T43:T46" ca="1" si="13">R43/($G$37-($G$36-$M$58+$M$59)-$G$35)</f>
        <v>0</v>
      </c>
      <c r="U43" s="14">
        <f t="shared" ref="U43:U46" si="14">IFERROR(VLOOKUP(F43,$D$2:$R$34,8,FALSE),0)</f>
        <v>0</v>
      </c>
      <c r="V43" s="62">
        <f t="shared" ref="V43:V46" ca="1" si="15">T43-S43</f>
        <v>0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</row>
    <row r="44" spans="1:40" ht="12.75">
      <c r="A44" s="28"/>
      <c r="B44" s="63"/>
      <c r="C44" s="64"/>
      <c r="D44" s="65"/>
      <c r="E44" s="28" t="str">
        <f ca="1">IFERROR(__xludf.DUMMYFUNCTION("iferror(IF(GOOGLEFINANCE(F44,""marketcap"")/1000000&gt;10000,""Large Cap"",IF(GOOGLEFINANCE(F44,""marketcap"")/1000000&gt;2000,""Mid Cap"",""Small Cap"")), """")"),"")</f>
        <v/>
      </c>
      <c r="F44" s="66"/>
      <c r="G44" s="45">
        <f t="shared" ca="1" si="8"/>
        <v>0</v>
      </c>
      <c r="H44" s="33">
        <f t="shared" ca="1" si="9"/>
        <v>0</v>
      </c>
      <c r="I44" s="28"/>
      <c r="J44" s="67"/>
      <c r="K44" s="22">
        <f ca="1">IFERROR(__xludf.DUMMYFUNCTION("IFERROR(GOOGLEFINANCE(F44,""price""),0)"),0)</f>
        <v>0</v>
      </c>
      <c r="L44" s="28"/>
      <c r="M44" s="22">
        <f t="shared" ca="1" si="10"/>
        <v>0</v>
      </c>
      <c r="N44" s="22"/>
      <c r="O44" s="22"/>
      <c r="P44" s="22"/>
      <c r="Q44" s="22">
        <f t="shared" si="11"/>
        <v>0</v>
      </c>
      <c r="R44" s="22">
        <f t="shared" ca="1" si="12"/>
        <v>0</v>
      </c>
      <c r="S44" s="68"/>
      <c r="T44" s="69">
        <f t="shared" ca="1" si="13"/>
        <v>0</v>
      </c>
      <c r="U44" s="15">
        <f t="shared" si="14"/>
        <v>0</v>
      </c>
      <c r="V44" s="70">
        <f t="shared" ca="1" si="15"/>
        <v>0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 spans="1:40" ht="12.75">
      <c r="A45" s="28"/>
      <c r="D45" s="65"/>
      <c r="E45" s="28" t="str">
        <f ca="1">IFERROR(__xludf.DUMMYFUNCTION("iferror(IF(GOOGLEFINANCE(F45,""marketcap"")/1000000&gt;10000,""Large Cap"",IF(GOOGLEFINANCE(F45,""marketcap"")/1000000&gt;2000,""Mid Cap"",""Small Cap"")), """")"),"")</f>
        <v/>
      </c>
      <c r="F45" s="66"/>
      <c r="G45" s="45">
        <f t="shared" ca="1" si="8"/>
        <v>0</v>
      </c>
      <c r="H45" s="33">
        <f t="shared" ca="1" si="9"/>
        <v>0</v>
      </c>
      <c r="I45" s="28"/>
      <c r="J45" s="67"/>
      <c r="K45" s="22">
        <f ca="1">IFERROR(__xludf.DUMMYFUNCTION("IFERROR(GOOGLEFINANCE(F45,""price""),0)"),0)</f>
        <v>0</v>
      </c>
      <c r="L45" s="28"/>
      <c r="M45" s="22">
        <f t="shared" ca="1" si="10"/>
        <v>0</v>
      </c>
      <c r="N45" s="22"/>
      <c r="O45" s="22"/>
      <c r="P45" s="22"/>
      <c r="Q45" s="22">
        <f t="shared" si="11"/>
        <v>0</v>
      </c>
      <c r="R45" s="22">
        <f t="shared" ca="1" si="12"/>
        <v>0</v>
      </c>
      <c r="S45" s="68"/>
      <c r="T45" s="69">
        <f t="shared" ca="1" si="13"/>
        <v>0</v>
      </c>
      <c r="U45" s="15">
        <f t="shared" si="14"/>
        <v>0</v>
      </c>
      <c r="V45" s="70">
        <f t="shared" ca="1" si="15"/>
        <v>0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spans="1:40" ht="12.75">
      <c r="A46" s="28"/>
      <c r="D46" s="71"/>
      <c r="E46" s="47" t="str">
        <f ca="1">IFERROR(__xludf.DUMMYFUNCTION("iferror(IF(GOOGLEFINANCE(F46,""marketcap"")/1000000&gt;10000,""Large Cap"",IF(GOOGLEFINANCE(F46,""marketcap"")/1000000&gt;2000,""Mid Cap"",""Small Cap"")), """")"),"")</f>
        <v/>
      </c>
      <c r="F46" s="72"/>
      <c r="G46" s="73">
        <f t="shared" ca="1" si="8"/>
        <v>0</v>
      </c>
      <c r="H46" s="74">
        <f t="shared" ca="1" si="9"/>
        <v>0</v>
      </c>
      <c r="I46" s="28"/>
      <c r="J46" s="75"/>
      <c r="K46" s="76">
        <f ca="1">IFERROR(__xludf.DUMMYFUNCTION("IFERROR(GOOGLEFINANCE(F46,""price""),0)"),0)</f>
        <v>0</v>
      </c>
      <c r="L46" s="47"/>
      <c r="M46" s="76">
        <f t="shared" ca="1" si="10"/>
        <v>0</v>
      </c>
      <c r="N46" s="76"/>
      <c r="O46" s="76"/>
      <c r="P46" s="76"/>
      <c r="Q46" s="76">
        <f t="shared" si="11"/>
        <v>0</v>
      </c>
      <c r="R46" s="76">
        <f t="shared" ca="1" si="12"/>
        <v>0</v>
      </c>
      <c r="S46" s="77"/>
      <c r="T46" s="78">
        <f t="shared" ca="1" si="13"/>
        <v>0</v>
      </c>
      <c r="U46" s="79">
        <f t="shared" si="14"/>
        <v>0</v>
      </c>
      <c r="V46" s="80">
        <f t="shared" ca="1" si="15"/>
        <v>0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 spans="1:40" ht="12.75">
      <c r="A47" s="28"/>
      <c r="B47" s="28"/>
      <c r="C47" s="81"/>
      <c r="D47" s="81"/>
      <c r="F47" s="28"/>
      <c r="G47" s="28"/>
      <c r="H47" s="28"/>
      <c r="I47" s="28"/>
      <c r="J47" s="28"/>
      <c r="K47" s="28"/>
      <c r="L47" s="28"/>
      <c r="M47" s="28"/>
      <c r="R47" s="28"/>
      <c r="S47" s="28"/>
      <c r="T47" s="28"/>
      <c r="U47" s="28"/>
      <c r="V47" s="28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</row>
    <row r="48" spans="1:40" ht="12.75">
      <c r="A48" s="28"/>
      <c r="B48" s="28"/>
      <c r="C48" s="81"/>
      <c r="D48" s="54" t="s">
        <v>71</v>
      </c>
      <c r="E48" s="54" t="s">
        <v>72</v>
      </c>
      <c r="F48" s="54" t="s">
        <v>83</v>
      </c>
      <c r="G48" s="54" t="s">
        <v>74</v>
      </c>
      <c r="H48" s="54" t="s">
        <v>3</v>
      </c>
      <c r="I48" s="54"/>
      <c r="J48" s="54" t="s">
        <v>84</v>
      </c>
      <c r="K48" s="54" t="s">
        <v>76</v>
      </c>
      <c r="L48" s="54"/>
      <c r="M48" s="54" t="s">
        <v>77</v>
      </c>
      <c r="N48" s="54"/>
      <c r="O48" s="54"/>
      <c r="P48" s="54"/>
      <c r="Q48" s="54" t="s">
        <v>78</v>
      </c>
      <c r="R48" s="54" t="s">
        <v>85</v>
      </c>
      <c r="S48" s="54" t="s">
        <v>8</v>
      </c>
      <c r="T48" s="54" t="s">
        <v>80</v>
      </c>
      <c r="U48" s="54" t="s">
        <v>81</v>
      </c>
      <c r="V48" s="54" t="s">
        <v>82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 spans="1:40" ht="15" customHeight="1">
      <c r="A49" s="28"/>
      <c r="C49" s="64"/>
      <c r="D49" s="55" t="s">
        <v>27</v>
      </c>
      <c r="E49" s="42" t="str">
        <f ca="1">IFERROR(__xludf.DUMMYFUNCTION("iferror(IF(GOOGLEFINANCE(F49,""marketcap"")/1000000&gt;10000,""Large Cap"",IF(GOOGLEFINANCE(F49,""marketcap"")/1000000&gt;2000,""Mid Cap"",""Small Cap"")), """")"),"")</f>
        <v/>
      </c>
      <c r="F49" s="56" t="s">
        <v>86</v>
      </c>
      <c r="G49" s="11">
        <f t="shared" ref="G49:G54" ca="1" si="16">H49*K49</f>
        <v>0</v>
      </c>
      <c r="H49" s="58">
        <v>400</v>
      </c>
      <c r="I49" s="28"/>
      <c r="J49" s="59"/>
      <c r="K49" s="11">
        <f ca="1">IFERROR(__xludf.DUMMYFUNCTION("IFERROR(GOOGLEFINANCE(F49,""price""),0)"),0)</f>
        <v>0</v>
      </c>
      <c r="L49" s="42"/>
      <c r="M49" s="11">
        <f t="shared" ref="M49:M54" ca="1" si="17">K49*H49</f>
        <v>0</v>
      </c>
      <c r="N49" s="11"/>
      <c r="O49" s="11"/>
      <c r="P49" s="11"/>
      <c r="Q49" s="11">
        <f t="shared" ref="Q49:Q52" si="18">IFERROR(VLOOKUP(F49,$D$2:$R$34,4,FALSE), 0)</f>
        <v>0</v>
      </c>
      <c r="R49" s="11">
        <f t="shared" ref="R49:R52" ca="1" si="19">Q49-M49</f>
        <v>0</v>
      </c>
      <c r="S49" s="60">
        <v>1.4800000000000001E-2</v>
      </c>
      <c r="T49" s="61">
        <f t="shared" ref="T49:T52" ca="1" si="20">R49/($G$37-($G$36-$M$58+$M$59)-$G$35)</f>
        <v>0</v>
      </c>
      <c r="U49" s="14">
        <f t="shared" ref="U49:U52" si="21">IFERROR(VLOOKUP(F49,$D$2:$R$34,8,FALSE),0)</f>
        <v>0</v>
      </c>
      <c r="V49" s="62">
        <f t="shared" ref="V49:V52" ca="1" si="22">T49-S49</f>
        <v>-1.4800000000000001E-2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</row>
    <row r="50" spans="1:40" ht="15" customHeight="1">
      <c r="A50" s="28"/>
      <c r="C50" s="64"/>
      <c r="D50" s="65" t="s">
        <v>27</v>
      </c>
      <c r="E50" s="28" t="str">
        <f ca="1">IFERROR(__xludf.DUMMYFUNCTION("iferror(IF(GOOGLEFINANCE(F50,""marketcap"")/1000000&gt;10000,""Large Cap"",IF(GOOGLEFINANCE(F50,""marketcap"")/1000000&gt;2000,""Mid Cap"",""Small Cap"")), """")"),"Large Cap")</f>
        <v>Large Cap</v>
      </c>
      <c r="F50" s="66" t="s">
        <v>29</v>
      </c>
      <c r="G50" s="22">
        <f t="shared" ca="1" si="16"/>
        <v>14176</v>
      </c>
      <c r="H50" s="33">
        <v>100</v>
      </c>
      <c r="I50" s="28"/>
      <c r="J50" s="67"/>
      <c r="K50" s="22">
        <f ca="1">IFERROR(__xludf.DUMMYFUNCTION("IFERROR(GOOGLEFINANCE(F50,""price""),0)"),141.76)</f>
        <v>141.76</v>
      </c>
      <c r="L50" s="28"/>
      <c r="M50" s="22">
        <f t="shared" ca="1" si="17"/>
        <v>14176</v>
      </c>
      <c r="N50" s="22"/>
      <c r="O50" s="22"/>
      <c r="P50" s="22"/>
      <c r="Q50" s="22">
        <f t="shared" ca="1" si="18"/>
        <v>141984.67542399999</v>
      </c>
      <c r="R50" s="22">
        <f t="shared" ca="1" si="19"/>
        <v>127808.67542399999</v>
      </c>
      <c r="S50" s="68">
        <v>2.3E-3</v>
      </c>
      <c r="T50" s="69">
        <f t="shared" ca="1" si="20"/>
        <v>6.1403319615544683E-2</v>
      </c>
      <c r="U50" s="15">
        <f t="shared" ca="1" si="21"/>
        <v>6.9142558773990795E-2</v>
      </c>
      <c r="V50" s="70">
        <f t="shared" ca="1" si="22"/>
        <v>5.9103319615544686E-2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</row>
    <row r="51" spans="1:40" ht="15" customHeight="1">
      <c r="A51" s="28"/>
      <c r="C51" s="64"/>
      <c r="D51" s="65" t="s">
        <v>30</v>
      </c>
      <c r="E51" s="28" t="str">
        <f ca="1">IFERROR(__xludf.DUMMYFUNCTION("iferror(IF(GOOGLEFINANCE(F51,""marketcap"")/1000000&gt;10000,""Large Cap"",IF(GOOGLEFINANCE(F51,""marketcap"")/1000000&gt;2000,""Mid Cap"",""Small Cap"")), """")"),"Mid Cap")</f>
        <v>Mid Cap</v>
      </c>
      <c r="F51" s="66" t="s">
        <v>87</v>
      </c>
      <c r="G51" s="22">
        <f t="shared" ca="1" si="16"/>
        <v>13641</v>
      </c>
      <c r="H51" s="33">
        <v>300</v>
      </c>
      <c r="I51" s="28"/>
      <c r="J51" s="67"/>
      <c r="K51" s="22">
        <f ca="1">IFERROR(__xludf.DUMMYFUNCTION("IFERROR(GOOGLEFINANCE(F51,""price""),0)"),45.47)</f>
        <v>45.47</v>
      </c>
      <c r="L51" s="28"/>
      <c r="M51" s="22">
        <f t="shared" ca="1" si="17"/>
        <v>13641</v>
      </c>
      <c r="N51" s="22"/>
      <c r="O51" s="22"/>
      <c r="P51" s="22"/>
      <c r="Q51" s="22">
        <f t="shared" si="18"/>
        <v>0</v>
      </c>
      <c r="R51" s="22">
        <f t="shared" ca="1" si="19"/>
        <v>-13641</v>
      </c>
      <c r="S51" s="68">
        <v>0</v>
      </c>
      <c r="T51" s="69">
        <f t="shared" ca="1" si="20"/>
        <v>-6.553566728525531E-3</v>
      </c>
      <c r="U51" s="15">
        <f t="shared" si="21"/>
        <v>0</v>
      </c>
      <c r="V51" s="70">
        <f t="shared" ca="1" si="22"/>
        <v>-6.553566728525531E-3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spans="1:40" ht="15" customHeight="1">
      <c r="A52" s="82"/>
      <c r="C52" s="64"/>
      <c r="D52" s="71" t="s">
        <v>30</v>
      </c>
      <c r="E52" s="47" t="str">
        <f ca="1">IFERROR(__xludf.DUMMYFUNCTION("iferror(IF(GOOGLEFINANCE(F52,""marketcap"")/1000000&gt;10000,""Large Cap"",IF(GOOGLEFINANCE(F52,""marketcap"")/1000000&gt;2000,""Mid Cap"",""Small Cap"")), """")"),"Small Cap")</f>
        <v>Small Cap</v>
      </c>
      <c r="F52" s="72" t="s">
        <v>88</v>
      </c>
      <c r="G52" s="76">
        <f t="shared" ca="1" si="16"/>
        <v>18</v>
      </c>
      <c r="H52" s="74">
        <v>200</v>
      </c>
      <c r="I52" s="28"/>
      <c r="J52" s="75"/>
      <c r="K52" s="76">
        <f ca="1">IFERROR(__xludf.DUMMYFUNCTION("IFERROR(GOOGLEFINANCE(F52,""price""),0)"),0.09)</f>
        <v>0.09</v>
      </c>
      <c r="L52" s="47"/>
      <c r="M52" s="76">
        <f t="shared" ca="1" si="17"/>
        <v>18</v>
      </c>
      <c r="N52" s="76"/>
      <c r="O52" s="76"/>
      <c r="P52" s="76"/>
      <c r="Q52" s="76">
        <f t="shared" si="18"/>
        <v>0</v>
      </c>
      <c r="R52" s="76">
        <f t="shared" ca="1" si="19"/>
        <v>-18</v>
      </c>
      <c r="S52" s="77">
        <v>0</v>
      </c>
      <c r="T52" s="78">
        <f t="shared" ca="1" si="20"/>
        <v>-8.6477678405879008E-6</v>
      </c>
      <c r="U52" s="79">
        <f t="shared" si="21"/>
        <v>0</v>
      </c>
      <c r="V52" s="80">
        <f t="shared" ca="1" si="22"/>
        <v>-8.6477678405879008E-6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spans="1:40" ht="15" customHeight="1">
      <c r="A53" s="82"/>
      <c r="B53" s="20"/>
      <c r="C53" s="81"/>
      <c r="D53" s="65" t="s">
        <v>30</v>
      </c>
      <c r="E53" s="28" t="str">
        <f ca="1">IFERROR(__xludf.DUMMYFUNCTION("iferror(IF(GOOGLEFINANCE(F53,""marketcap"")/1000000&gt;10000,""Large Cap"",IF(GOOGLEFINANCE(F53,""marketcap"")/1000000&gt;2000,""Mid Cap"",""Small Cap"")), """")"),"Mid Cap")</f>
        <v>Mid Cap</v>
      </c>
      <c r="F53" s="66" t="s">
        <v>89</v>
      </c>
      <c r="G53" s="22">
        <f t="shared" ca="1" si="16"/>
        <v>27933</v>
      </c>
      <c r="H53" s="33">
        <v>300</v>
      </c>
      <c r="I53" s="28"/>
      <c r="J53" s="67"/>
      <c r="K53" s="22">
        <f ca="1">IFERROR(__xludf.DUMMYFUNCTION("IFERROR(GOOGLEFINANCE(F53,""price""),0)"),93.11)</f>
        <v>93.11</v>
      </c>
      <c r="L53" s="28"/>
      <c r="M53" s="22">
        <f t="shared" ca="1" si="17"/>
        <v>27933</v>
      </c>
      <c r="N53" s="22"/>
      <c r="O53" s="22"/>
      <c r="P53" s="22"/>
      <c r="Q53" s="22"/>
      <c r="R53" s="28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spans="1:40" ht="15" customHeight="1">
      <c r="A54" s="82"/>
      <c r="B54" s="20"/>
      <c r="C54" s="81"/>
      <c r="D54" s="71" t="s">
        <v>30</v>
      </c>
      <c r="E54" s="47" t="str">
        <f ca="1">IFERROR(__xludf.DUMMYFUNCTION("iferror(IF(GOOGLEFINANCE(F54,""marketcap"")/1000000&gt;10000,""Large Cap"",IF(GOOGLEFINANCE(F54,""marketcap"")/1000000&gt;2000,""Mid Cap"",""Small Cap"")), """")"),"Large Cap")</f>
        <v>Large Cap</v>
      </c>
      <c r="F54" s="72" t="s">
        <v>90</v>
      </c>
      <c r="G54" s="76">
        <f t="shared" ca="1" si="16"/>
        <v>15567.500000000002</v>
      </c>
      <c r="H54" s="74">
        <v>50</v>
      </c>
      <c r="I54" s="28"/>
      <c r="J54" s="75"/>
      <c r="K54" s="76">
        <f ca="1">IFERROR(__xludf.DUMMYFUNCTION("IFERROR(GOOGLEFINANCE(F54,""price""),0)"),311.35)</f>
        <v>311.35000000000002</v>
      </c>
      <c r="L54" s="47"/>
      <c r="M54" s="76">
        <f t="shared" ca="1" si="17"/>
        <v>15567.500000000002</v>
      </c>
      <c r="N54" s="22"/>
      <c r="O54" s="22"/>
      <c r="P54" s="22"/>
      <c r="Q54" s="22"/>
      <c r="R54" s="28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spans="1:40" ht="15" customHeight="1">
      <c r="A55" s="82"/>
      <c r="B55" s="20"/>
      <c r="C55" s="81"/>
      <c r="D55" s="81"/>
      <c r="E55" s="28"/>
      <c r="F55" s="28"/>
      <c r="G55" s="22"/>
      <c r="H55" s="28"/>
      <c r="I55" s="28"/>
      <c r="J55" s="15"/>
      <c r="K55" s="83" t="s">
        <v>91</v>
      </c>
      <c r="L55" s="54"/>
      <c r="M55" s="84">
        <f ca="1">SUM(M43:M46)-SUM(M49:M54)</f>
        <v>-71335.5</v>
      </c>
      <c r="N55" s="22"/>
      <c r="O55" s="22"/>
      <c r="P55" s="22"/>
      <c r="Q55" s="22"/>
      <c r="R55" s="28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spans="1:40" ht="15" customHeight="1">
      <c r="A56" s="82"/>
      <c r="B56" s="20"/>
      <c r="C56" s="81"/>
      <c r="D56" s="81"/>
      <c r="E56" s="28"/>
      <c r="F56" s="28"/>
      <c r="G56" s="22"/>
      <c r="H56" s="28"/>
      <c r="I56" s="28"/>
      <c r="J56" s="15"/>
      <c r="K56" s="83"/>
      <c r="L56" s="54"/>
      <c r="M56" s="54"/>
      <c r="N56" s="22"/>
      <c r="O56" s="22"/>
      <c r="P56" s="22"/>
      <c r="Q56" s="22"/>
      <c r="R56" s="28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 spans="1:40" ht="15" customHeight="1">
      <c r="A57" s="82"/>
      <c r="B57" s="20"/>
      <c r="C57" s="81"/>
      <c r="D57" s="81"/>
      <c r="E57" s="54"/>
      <c r="F57" s="28"/>
      <c r="G57" s="22"/>
      <c r="H57" s="28"/>
      <c r="I57" s="28"/>
      <c r="J57" s="15"/>
      <c r="K57" s="22"/>
      <c r="L57" s="28"/>
      <c r="M57" s="28"/>
      <c r="N57" s="84"/>
      <c r="O57" s="84"/>
      <c r="P57" s="84"/>
      <c r="Q57" s="84" t="s">
        <v>92</v>
      </c>
      <c r="R57" s="54" t="s">
        <v>93</v>
      </c>
      <c r="S57" s="28"/>
      <c r="T57" s="28"/>
      <c r="U57" s="28"/>
      <c r="V57" s="28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spans="1:40" ht="15" customHeight="1">
      <c r="A58" s="82"/>
      <c r="B58" s="20"/>
      <c r="C58" s="81"/>
      <c r="D58" s="81"/>
      <c r="E58" s="54" t="s">
        <v>94</v>
      </c>
      <c r="F58" s="28" t="s">
        <v>64</v>
      </c>
      <c r="G58" s="22">
        <f ca="1">IF(F43="IWV", 0, IF(M53&gt;0, M53, 0))</f>
        <v>27933</v>
      </c>
      <c r="H58" s="28">
        <f ca="1">ROUNDUP(G58/K58,0)</f>
        <v>67</v>
      </c>
      <c r="I58" s="28"/>
      <c r="J58" s="15">
        <f ca="1">(H58*K58)/G37</f>
        <v>1.0332004575585103E-2</v>
      </c>
      <c r="K58" s="22">
        <f ca="1">IFERROR(__xludf.DUMMYFUNCTION("GOOGLEFINANCE(F58,""price"")"),417.25)</f>
        <v>417.25</v>
      </c>
      <c r="L58" s="28"/>
      <c r="M58" s="22">
        <f t="shared" ref="M58:M59" ca="1" si="23">H58*K58</f>
        <v>27955.75</v>
      </c>
      <c r="N58" s="22"/>
      <c r="O58" s="22"/>
      <c r="P58" s="22"/>
      <c r="Q58" s="22">
        <f t="shared" ref="Q58:Q59" ca="1" si="24">$G$36</f>
        <v>652203.30810000002</v>
      </c>
      <c r="R58" s="22">
        <f ca="1">Q58-M58</f>
        <v>624247.55810000002</v>
      </c>
      <c r="S58" s="28"/>
      <c r="T58" s="28"/>
      <c r="U58" s="28"/>
      <c r="V58" s="28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 spans="1:40" ht="12.75">
      <c r="A59" s="82"/>
      <c r="B59" s="20"/>
      <c r="C59" s="81"/>
      <c r="D59" s="81"/>
      <c r="E59" s="54" t="s">
        <v>95</v>
      </c>
      <c r="F59" s="28" t="s">
        <v>64</v>
      </c>
      <c r="G59" s="22">
        <f ca="1">IF(M53&lt;0, M53*-1, 0)</f>
        <v>0</v>
      </c>
      <c r="H59" s="28">
        <f ca="1">ROUNDDOWN(G59/K59,0)</f>
        <v>0</v>
      </c>
      <c r="I59" s="28"/>
      <c r="J59" s="15">
        <f ca="1">(H59*K59)/G37</f>
        <v>0</v>
      </c>
      <c r="K59" s="22">
        <f ca="1">IFERROR(__xludf.DUMMYFUNCTION("GOOGLEFINANCE(F59,""price"")"),417.25)</f>
        <v>417.25</v>
      </c>
      <c r="L59" s="28"/>
      <c r="M59" s="22">
        <f t="shared" ca="1" si="23"/>
        <v>0</v>
      </c>
      <c r="N59" s="22"/>
      <c r="O59" s="22"/>
      <c r="P59" s="22"/>
      <c r="Q59" s="22">
        <f t="shared" ca="1" si="24"/>
        <v>652203.30810000002</v>
      </c>
      <c r="R59" s="22">
        <f t="shared" ref="R59:R60" ca="1" si="25">Q59+M59</f>
        <v>652203.30810000002</v>
      </c>
      <c r="S59" s="28">
        <f ca="1">Q59/G37</f>
        <v>0.24104406297455588</v>
      </c>
      <c r="T59" s="28">
        <f ca="1">R59/G37</f>
        <v>0.24104406297455588</v>
      </c>
      <c r="U59" s="28"/>
      <c r="V59" s="28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 spans="1:40" ht="12.75">
      <c r="A60" s="82"/>
      <c r="B60" s="20"/>
      <c r="C60" s="81"/>
      <c r="D60" s="81"/>
      <c r="G60" s="28"/>
      <c r="H60" s="28"/>
      <c r="I60" s="28"/>
      <c r="J60" s="28"/>
      <c r="K60" s="85" t="s">
        <v>96</v>
      </c>
      <c r="L60" s="28"/>
      <c r="M60" s="22">
        <f ca="1">M58-M59-M53</f>
        <v>22.75</v>
      </c>
      <c r="N60" s="28"/>
      <c r="O60" s="28"/>
      <c r="P60" s="28"/>
      <c r="Q60" s="22">
        <f>G35</f>
        <v>33.549999999999997</v>
      </c>
      <c r="R60" s="22">
        <f t="shared" ca="1" si="25"/>
        <v>56.3</v>
      </c>
      <c r="S60" s="28"/>
      <c r="T60" s="28"/>
      <c r="U60" s="28"/>
      <c r="V60" s="28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 spans="1:40" ht="12.75">
      <c r="A61" s="82"/>
      <c r="B61" s="20"/>
      <c r="C61" s="81"/>
      <c r="D61" s="86"/>
      <c r="E61" s="87"/>
      <c r="F61" s="22"/>
      <c r="G61" s="22"/>
      <c r="H61" s="22"/>
      <c r="I61" s="22"/>
      <c r="J61" s="28"/>
      <c r="K61" s="28"/>
      <c r="L61" s="28"/>
      <c r="M61" s="28"/>
      <c r="N61" s="88"/>
      <c r="O61" s="88"/>
      <c r="P61" s="88"/>
      <c r="Q61" s="88"/>
      <c r="R61" s="28"/>
      <c r="S61" s="28"/>
      <c r="T61" s="28"/>
      <c r="U61" s="28"/>
      <c r="V61" s="28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 spans="1:40" ht="12.75" collapsed="1">
      <c r="A62" s="82"/>
      <c r="B62" s="20"/>
      <c r="C62" s="81"/>
      <c r="D62" s="89" t="s">
        <v>97</v>
      </c>
      <c r="E62" s="87"/>
      <c r="F62" s="22"/>
      <c r="G62" s="22"/>
      <c r="H62" s="22"/>
      <c r="I62" s="22"/>
      <c r="J62" s="28"/>
      <c r="K62" s="28"/>
      <c r="L62" s="28"/>
      <c r="M62" s="28"/>
      <c r="N62" s="88"/>
      <c r="O62" s="88"/>
      <c r="P62" s="88"/>
      <c r="Q62" s="88" t="s">
        <v>98</v>
      </c>
      <c r="R62" s="28"/>
      <c r="S62" s="28"/>
      <c r="T62" s="28"/>
      <c r="U62" s="28"/>
      <c r="V62" s="28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 spans="1:40" ht="12.75" hidden="1" outlineLevel="1">
      <c r="A63" s="82"/>
      <c r="B63" s="20"/>
      <c r="C63" s="81"/>
      <c r="D63" s="84" t="s">
        <v>99</v>
      </c>
      <c r="E63" s="22"/>
      <c r="F63" s="22"/>
      <c r="G63" s="28" t="s">
        <v>100</v>
      </c>
      <c r="H63" s="28"/>
      <c r="I63" s="28"/>
      <c r="J63" s="15"/>
      <c r="K63" s="28"/>
      <c r="L63" s="28"/>
      <c r="M63" s="28"/>
      <c r="N63" s="54"/>
      <c r="O63" s="54"/>
      <c r="P63" s="54"/>
      <c r="Q63" s="54" t="s">
        <v>99</v>
      </c>
      <c r="R63" s="28"/>
      <c r="S63" s="28"/>
      <c r="T63" s="6"/>
      <c r="U63" s="6"/>
      <c r="V63" s="6"/>
      <c r="W63" s="6"/>
      <c r="X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</row>
    <row r="64" spans="1:40" ht="13.15" hidden="1" outlineLevel="1">
      <c r="A64" s="82"/>
      <c r="B64" s="20"/>
      <c r="C64" s="81"/>
      <c r="D64" s="1" t="s">
        <v>71</v>
      </c>
      <c r="E64" s="2" t="s">
        <v>101</v>
      </c>
      <c r="F64" s="2" t="s">
        <v>102</v>
      </c>
      <c r="G64" s="2" t="s">
        <v>103</v>
      </c>
      <c r="H64" s="90" t="s">
        <v>104</v>
      </c>
      <c r="I64" s="91"/>
      <c r="N64" s="92"/>
      <c r="O64" s="92"/>
      <c r="P64" s="92"/>
      <c r="Q64" s="1" t="s">
        <v>0</v>
      </c>
      <c r="R64" s="3" t="s">
        <v>101</v>
      </c>
      <c r="S64" s="3" t="s">
        <v>102</v>
      </c>
      <c r="T64" s="3" t="s">
        <v>103</v>
      </c>
      <c r="U64" s="93" t="s">
        <v>104</v>
      </c>
      <c r="V64" s="6"/>
      <c r="W64" s="6"/>
      <c r="X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</row>
    <row r="65" spans="1:40" ht="12.75" hidden="1" outlineLevel="1">
      <c r="A65" s="82"/>
      <c r="B65" s="87"/>
      <c r="C65" s="81"/>
      <c r="D65" s="82" t="s">
        <v>22</v>
      </c>
      <c r="E65" s="22">
        <f t="shared" ref="E65:E71" ca="1" si="26">SUMIF($A$2:$A$37,D65,$G$2:$G$37)</f>
        <v>197712.69741200004</v>
      </c>
      <c r="F65" s="15">
        <f t="shared" ref="F65:F71" ca="1" si="27">E65/$E$72</f>
        <v>9.627897108515053E-2</v>
      </c>
      <c r="G65" s="22">
        <f t="shared" ref="G65:G69" ca="1" si="28">E65+(IF($D$43=D65, $M$43, 0)+IF($D$44=D65, $M$44, 0)+IF($D$45=D65, $M$45, 0)+IF($D$46=D65, $M$46, 0)-IF($D$49=D65, $M$49, 0)-IF($D$50=D65, $M$50, 0)-IF($D$51=D65, $M$51, 0)-IF($D$52=D65, $M$52, 0))</f>
        <v>197712.69741200004</v>
      </c>
      <c r="H65" s="15">
        <f t="shared" ref="H65:H71" ca="1" si="29">G65/$G$72</f>
        <v>9.8966608233969522E-2</v>
      </c>
      <c r="I65" s="94"/>
      <c r="N65" s="28"/>
      <c r="O65" s="28"/>
      <c r="P65" s="28"/>
      <c r="Q65" s="82" t="s">
        <v>105</v>
      </c>
      <c r="R65" s="22">
        <f t="shared" ref="R65:R69" ca="1" si="30">SUMIF($B$2:$B$37,Q65,$G$2:$G$37)</f>
        <v>165349.608622</v>
      </c>
      <c r="S65" s="15">
        <f t="shared" ref="S65:S69" ca="1" si="31">R65/$R$70</f>
        <v>6.1110609189655433E-2</v>
      </c>
      <c r="T65" s="22">
        <f t="shared" ref="T65:T67" ca="1" si="32">R65+(IF($E$43=Q65, $M$43, 0)+IF($E$44=Q65, $M$44, 0)+IF($E$45=Q65, $M$45, 0)+IF($E$46=Q65, $M$46, 0)-IF($E$49=Q65, $M$49, 0)-IF($E$50=Q65, $M$50, 0)-IF($E$51=Q65, $M$51, 0)-IF($E$52=Q65, $M$52, 0))</f>
        <v>151708.608622</v>
      </c>
      <c r="U65" s="95">
        <f t="shared" ref="U65:U69" ca="1" si="33">T65/$T$70</f>
        <v>7.593890848561563E-2</v>
      </c>
      <c r="V65" s="6"/>
      <c r="W65" s="6"/>
      <c r="X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</row>
    <row r="66" spans="1:40" ht="12.75" hidden="1" outlineLevel="1">
      <c r="A66" s="82"/>
      <c r="B66" s="87"/>
      <c r="C66" s="81"/>
      <c r="D66" s="82" t="s">
        <v>30</v>
      </c>
      <c r="E66" s="22">
        <f t="shared" ca="1" si="26"/>
        <v>392188.11457399995</v>
      </c>
      <c r="F66" s="15">
        <f t="shared" ca="1" si="27"/>
        <v>0.19098150314709156</v>
      </c>
      <c r="G66" s="22">
        <f t="shared" ca="1" si="28"/>
        <v>378529.11457399995</v>
      </c>
      <c r="H66" s="15">
        <f t="shared" ca="1" si="29"/>
        <v>0.18947565370135253</v>
      </c>
      <c r="I66" s="94"/>
      <c r="N66" s="28"/>
      <c r="O66" s="28"/>
      <c r="P66" s="28"/>
      <c r="Q66" s="82" t="s">
        <v>106</v>
      </c>
      <c r="R66" s="22">
        <f t="shared" ca="1" si="30"/>
        <v>23445</v>
      </c>
      <c r="S66" s="15">
        <f t="shared" ca="1" si="31"/>
        <v>8.6649024717488435E-3</v>
      </c>
      <c r="T66" s="22">
        <f t="shared" ca="1" si="32"/>
        <v>23427</v>
      </c>
      <c r="U66" s="95">
        <f t="shared" ca="1" si="33"/>
        <v>1.1726564664007689E-2</v>
      </c>
      <c r="V66" s="6"/>
      <c r="W66" s="6"/>
      <c r="X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</row>
    <row r="67" spans="1:40" ht="12.75" hidden="1" outlineLevel="1">
      <c r="A67" s="82"/>
      <c r="B67" s="87"/>
      <c r="C67" s="81"/>
      <c r="D67" s="82" t="s">
        <v>34</v>
      </c>
      <c r="E67" s="22">
        <f t="shared" ca="1" si="26"/>
        <v>208319.43283699997</v>
      </c>
      <c r="F67" s="15">
        <f t="shared" ca="1" si="27"/>
        <v>0.10144406966839119</v>
      </c>
      <c r="G67" s="22">
        <f t="shared" ca="1" si="28"/>
        <v>208319.43283699997</v>
      </c>
      <c r="H67" s="15">
        <f t="shared" ca="1" si="29"/>
        <v>0.10427589106298231</v>
      </c>
      <c r="I67" s="94"/>
      <c r="N67" s="28"/>
      <c r="O67" s="28"/>
      <c r="P67" s="28"/>
      <c r="Q67" s="82" t="s">
        <v>41</v>
      </c>
      <c r="R67" s="22">
        <f t="shared" ca="1" si="30"/>
        <v>1864711.6246099998</v>
      </c>
      <c r="S67" s="15">
        <f t="shared" ca="1" si="31"/>
        <v>0.68916802581283809</v>
      </c>
      <c r="T67" s="22">
        <f t="shared" ca="1" si="32"/>
        <v>1850535.6246099998</v>
      </c>
      <c r="U67" s="95">
        <f t="shared" ca="1" si="33"/>
        <v>0.92629981069018752</v>
      </c>
      <c r="V67" s="6"/>
      <c r="W67" s="6"/>
      <c r="X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</row>
    <row r="68" spans="1:40" ht="12.75" hidden="1" outlineLevel="1">
      <c r="A68" s="82"/>
      <c r="B68" s="87"/>
      <c r="C68" s="81"/>
      <c r="D68" s="82" t="s">
        <v>18</v>
      </c>
      <c r="E68" s="22">
        <f t="shared" ca="1" si="26"/>
        <v>870548.91841699998</v>
      </c>
      <c r="F68" s="15">
        <f t="shared" ca="1" si="27"/>
        <v>0.42392600597533642</v>
      </c>
      <c r="G68" s="22">
        <f t="shared" ca="1" si="28"/>
        <v>870548.91841699998</v>
      </c>
      <c r="H68" s="15">
        <f t="shared" ca="1" si="29"/>
        <v>0.43575994301442367</v>
      </c>
      <c r="I68" s="94"/>
      <c r="N68" s="28"/>
      <c r="O68" s="28"/>
      <c r="P68" s="28"/>
      <c r="Q68" s="82" t="s">
        <v>63</v>
      </c>
      <c r="R68" s="22">
        <f t="shared" ca="1" si="30"/>
        <v>652203.30810000002</v>
      </c>
      <c r="S68" s="15">
        <f t="shared" ca="1" si="31"/>
        <v>0.24104406297455588</v>
      </c>
      <c r="T68" s="22">
        <f ca="1">E70-M58+M59</f>
        <v>-27955.75</v>
      </c>
      <c r="U68" s="95">
        <f t="shared" ca="1" si="33"/>
        <v>-1.399346523694169E-2</v>
      </c>
      <c r="V68" s="6"/>
      <c r="W68" s="6"/>
      <c r="X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</row>
    <row r="69" spans="1:40" ht="12.75" hidden="1" outlineLevel="1">
      <c r="A69" s="82"/>
      <c r="B69" s="87"/>
      <c r="C69" s="81"/>
      <c r="D69" s="82" t="s">
        <v>27</v>
      </c>
      <c r="E69" s="22">
        <f t="shared" ca="1" si="26"/>
        <v>384737.069992</v>
      </c>
      <c r="F69" s="15">
        <f t="shared" ca="1" si="27"/>
        <v>0.18735311248096431</v>
      </c>
      <c r="G69" s="22">
        <f t="shared" ca="1" si="28"/>
        <v>370561.069992</v>
      </c>
      <c r="H69" s="15">
        <f t="shared" ca="1" si="29"/>
        <v>0.18548718782708273</v>
      </c>
      <c r="I69" s="94"/>
      <c r="N69" s="28"/>
      <c r="O69" s="28"/>
      <c r="P69" s="28"/>
      <c r="Q69" s="82" t="s">
        <v>60</v>
      </c>
      <c r="R69" s="22">
        <f t="shared" ca="1" si="30"/>
        <v>33.549999999999997</v>
      </c>
      <c r="S69" s="15">
        <f t="shared" ca="1" si="31"/>
        <v>1.2399551201841487E-5</v>
      </c>
      <c r="T69" s="22">
        <f ca="1">R60</f>
        <v>56.3</v>
      </c>
      <c r="U69" s="95">
        <f t="shared" ca="1" si="33"/>
        <v>2.8181397130816276E-5</v>
      </c>
      <c r="V69" s="6"/>
      <c r="W69" s="6"/>
      <c r="X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</row>
    <row r="70" spans="1:40" ht="12.75" hidden="1" outlineLevel="1">
      <c r="A70" s="82"/>
      <c r="B70" s="87"/>
      <c r="C70" s="81"/>
      <c r="D70" s="82" t="s">
        <v>63</v>
      </c>
      <c r="E70" s="22">
        <f t="shared" si="26"/>
        <v>0</v>
      </c>
      <c r="F70" s="15">
        <f t="shared" ca="1" si="27"/>
        <v>0</v>
      </c>
      <c r="G70" s="22">
        <f ca="1">E70-M58+M59</f>
        <v>-27955.75</v>
      </c>
      <c r="H70" s="15">
        <f t="shared" ca="1" si="29"/>
        <v>-1.3993465236941689E-2</v>
      </c>
      <c r="I70" s="94"/>
      <c r="N70" s="28"/>
      <c r="O70" s="28"/>
      <c r="P70" s="28"/>
      <c r="Q70" s="96" t="s">
        <v>65</v>
      </c>
      <c r="R70" s="97">
        <f ca="1">SUM(R65:R69)</f>
        <v>2705743.0913319997</v>
      </c>
      <c r="S70" s="98">
        <f t="shared" ref="S70:U70" ca="1" si="34">SUM(S65:S69)</f>
        <v>1</v>
      </c>
      <c r="T70" s="97">
        <f t="shared" ca="1" si="34"/>
        <v>1997771.783232</v>
      </c>
      <c r="U70" s="99">
        <f t="shared" ca="1" si="34"/>
        <v>0.99999999999999989</v>
      </c>
      <c r="V70" s="6"/>
      <c r="W70" s="6"/>
      <c r="X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</row>
    <row r="71" spans="1:40" ht="12.75" hidden="1" outlineLevel="1">
      <c r="A71" s="82"/>
      <c r="B71" s="87"/>
      <c r="C71" s="81"/>
      <c r="D71" s="82" t="s">
        <v>60</v>
      </c>
      <c r="E71" s="22">
        <f t="shared" si="26"/>
        <v>33.549999999999997</v>
      </c>
      <c r="F71" s="15">
        <f t="shared" ca="1" si="27"/>
        <v>1.6337643065865873E-5</v>
      </c>
      <c r="G71" s="22">
        <f ca="1">R60</f>
        <v>56.3</v>
      </c>
      <c r="H71" s="15">
        <f t="shared" ca="1" si="29"/>
        <v>2.8181397130816273E-5</v>
      </c>
      <c r="I71" s="94"/>
      <c r="K71" s="6"/>
      <c r="N71" s="28"/>
      <c r="O71" s="28"/>
      <c r="P71" s="28"/>
      <c r="Q71" s="28"/>
      <c r="R71" s="28"/>
      <c r="S71" s="28"/>
      <c r="T71" s="6"/>
      <c r="U71" s="6"/>
      <c r="V71" s="6"/>
      <c r="W71" s="6"/>
      <c r="X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</row>
    <row r="72" spans="1:40" ht="12.75" hidden="1" outlineLevel="1">
      <c r="A72" s="82"/>
      <c r="B72" s="87"/>
      <c r="C72" s="81"/>
      <c r="D72" s="100" t="s">
        <v>65</v>
      </c>
      <c r="E72" s="101">
        <f t="shared" ref="E72:H72" ca="1" si="35">SUM(E65:E71)</f>
        <v>2053539.7832320002</v>
      </c>
      <c r="F72" s="102">
        <f t="shared" ca="1" si="35"/>
        <v>0.99999999999999989</v>
      </c>
      <c r="G72" s="101">
        <f t="shared" ca="1" si="35"/>
        <v>1997771.7832320002</v>
      </c>
      <c r="H72" s="103">
        <f t="shared" ca="1" si="35"/>
        <v>0.99999999999999989</v>
      </c>
      <c r="I72" s="6"/>
      <c r="J72" s="6"/>
      <c r="K72" s="6"/>
      <c r="N72" s="28"/>
      <c r="O72" s="28"/>
      <c r="P72" s="28"/>
      <c r="Q72" s="28"/>
      <c r="R72" s="28"/>
      <c r="S72" s="28"/>
      <c r="T72" s="6"/>
      <c r="U72" s="6"/>
      <c r="V72" s="6"/>
      <c r="W72" s="6"/>
      <c r="X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</row>
    <row r="73" spans="1:40" ht="12.75" hidden="1" outlineLevel="1">
      <c r="A73" s="82"/>
      <c r="B73" s="87"/>
      <c r="C73" s="81"/>
      <c r="D73" s="22"/>
      <c r="E73" s="22"/>
      <c r="F73" s="22"/>
      <c r="G73" s="6"/>
      <c r="H73" s="6"/>
      <c r="I73" s="6"/>
      <c r="J73" s="6"/>
      <c r="K73" s="6"/>
      <c r="N73" s="28"/>
      <c r="O73" s="28"/>
      <c r="P73" s="28"/>
      <c r="Q73" s="28"/>
      <c r="R73" s="28"/>
      <c r="S73" s="28"/>
      <c r="T73" s="6"/>
      <c r="U73" s="6"/>
      <c r="V73" s="6"/>
      <c r="W73" s="6"/>
      <c r="X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</row>
    <row r="74" spans="1:40" ht="12.75" hidden="1" outlineLevel="1">
      <c r="A74" s="82"/>
      <c r="B74" s="87"/>
      <c r="C74" s="81"/>
      <c r="D74" s="84" t="s">
        <v>107</v>
      </c>
      <c r="E74" s="22"/>
      <c r="F74" s="22"/>
      <c r="G74" s="28" t="s">
        <v>100</v>
      </c>
      <c r="H74" s="6"/>
      <c r="I74" s="6"/>
      <c r="J74" s="6"/>
      <c r="K74" s="6"/>
      <c r="N74" s="54"/>
      <c r="O74" s="54"/>
      <c r="P74" s="54"/>
      <c r="Q74" s="54" t="s">
        <v>107</v>
      </c>
      <c r="R74" s="28"/>
      <c r="S74" s="28"/>
      <c r="T74" s="6"/>
      <c r="U74" s="6"/>
      <c r="V74" s="6"/>
      <c r="W74" s="6"/>
      <c r="X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 spans="1:40" ht="12.75" hidden="1" outlineLevel="1">
      <c r="A75" s="82"/>
      <c r="B75" s="87"/>
      <c r="C75" s="81"/>
      <c r="D75" s="1" t="s">
        <v>71</v>
      </c>
      <c r="E75" s="2" t="s">
        <v>101</v>
      </c>
      <c r="F75" s="2" t="s">
        <v>108</v>
      </c>
      <c r="G75" s="2" t="s">
        <v>103</v>
      </c>
      <c r="H75" s="90" t="s">
        <v>104</v>
      </c>
      <c r="K75" s="6"/>
      <c r="N75" s="92"/>
      <c r="O75" s="92"/>
      <c r="P75" s="92"/>
      <c r="Q75" s="1" t="s">
        <v>0</v>
      </c>
      <c r="R75" s="3" t="s">
        <v>101</v>
      </c>
      <c r="S75" s="3" t="s">
        <v>102</v>
      </c>
      <c r="T75" s="3" t="s">
        <v>103</v>
      </c>
      <c r="U75" s="93" t="s">
        <v>104</v>
      </c>
      <c r="V75" s="6"/>
      <c r="W75" s="6"/>
      <c r="X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</row>
    <row r="76" spans="1:40" ht="12.75" hidden="1" outlineLevel="1">
      <c r="A76" s="82"/>
      <c r="B76" s="87"/>
      <c r="C76" s="81"/>
      <c r="D76" s="82" t="s">
        <v>22</v>
      </c>
      <c r="E76" s="22">
        <f t="shared" ref="E76:E81" ca="1" si="36">SUMIF($A$2:$A$37,D76,$G$2:$G$37)</f>
        <v>197712.69741200004</v>
      </c>
      <c r="F76" s="15">
        <f t="shared" ref="F76:F82" ca="1" si="37">E76/$E$82</f>
        <v>9.6280544082313943E-2</v>
      </c>
      <c r="G76" s="22">
        <f t="shared" ref="G76:G80" ca="1" si="38">E76+(IF($D$43=D76, $M$43, 0)+IF($D$44=D76, $M$44, 0)+IF($D$45=D76, $M$45, 0)+IF($D$46=D76, $M$46, 0)-IF($D$49=D76, $M$49, 0)-IF($D$50=D76, $M$50, 0)-IF($D$51=D76, $M$51, 0)-IF($D$52=D76, $M$52, 0))</f>
        <v>197712.69741200004</v>
      </c>
      <c r="H76" s="95">
        <f t="shared" ref="H76:H81" ca="1" si="39">G76/$G$82</f>
        <v>9.8969397329859474E-2</v>
      </c>
      <c r="K76" s="6"/>
      <c r="N76" s="28"/>
      <c r="O76" s="28"/>
      <c r="P76" s="28"/>
      <c r="Q76" s="82" t="s">
        <v>105</v>
      </c>
      <c r="R76" s="22">
        <f t="shared" ref="R76:R79" ca="1" si="40">SUMIF($B$2:$B$37,Q76,$G$2:$G$37)</f>
        <v>165349.608622</v>
      </c>
      <c r="S76" s="15">
        <f t="shared" ref="S76:S79" ca="1" si="41">R76/$R$80</f>
        <v>6.1111366943178855E-2</v>
      </c>
      <c r="T76" s="22">
        <f t="shared" ref="T76:T79" ca="1" si="42">R76+(IF($E$43=Q76, $M$43, 0)+IF($E$44=Q76, $M$44, 0)+IF($E$45=Q76, $M$45, 0)+IF($E$46=Q76, $M$46, 0)-IF($E$49=Q76, $M$49, 0)-IF($E$50=Q76, $M$50, 0)-IF($E$51=Q76, $M$51, 0)-IF($E$52=Q76, $M$52, 0))</f>
        <v>151708.608622</v>
      </c>
      <c r="U76" s="95">
        <f t="shared" ref="U76:U79" ca="1" si="43">T76/$T$80</f>
        <v>5.6652619934367321E-2</v>
      </c>
      <c r="V76" s="6"/>
      <c r="W76" s="6"/>
      <c r="X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ht="12.75" hidden="1" outlineLevel="1">
      <c r="A77" s="82"/>
      <c r="B77" s="87"/>
      <c r="C77" s="81"/>
      <c r="D77" s="82" t="s">
        <v>30</v>
      </c>
      <c r="E77" s="22">
        <f t="shared" ca="1" si="36"/>
        <v>392188.11457399995</v>
      </c>
      <c r="F77" s="15">
        <f t="shared" ca="1" si="37"/>
        <v>0.19098462338569949</v>
      </c>
      <c r="G77" s="22">
        <f t="shared" ca="1" si="38"/>
        <v>378529.11457399995</v>
      </c>
      <c r="H77" s="95">
        <f t="shared" ca="1" si="39"/>
        <v>0.18948099354048023</v>
      </c>
      <c r="K77" s="6"/>
      <c r="N77" s="28"/>
      <c r="O77" s="28"/>
      <c r="P77" s="28"/>
      <c r="Q77" s="82" t="s">
        <v>106</v>
      </c>
      <c r="R77" s="22">
        <f t="shared" ca="1" si="40"/>
        <v>23445</v>
      </c>
      <c r="S77" s="15">
        <f t="shared" ca="1" si="41"/>
        <v>8.6650099139829358E-3</v>
      </c>
      <c r="T77" s="22">
        <f t="shared" ca="1" si="42"/>
        <v>23427</v>
      </c>
      <c r="U77" s="95">
        <f t="shared" ca="1" si="43"/>
        <v>8.7483560706123255E-3</v>
      </c>
      <c r="V77" s="6"/>
      <c r="W77" s="6"/>
      <c r="X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ht="12.75" hidden="1" outlineLevel="1">
      <c r="A78" s="82"/>
      <c r="B78" s="87"/>
      <c r="C78" s="81"/>
      <c r="D78" s="82" t="s">
        <v>34</v>
      </c>
      <c r="E78" s="22">
        <f t="shared" ca="1" si="36"/>
        <v>208319.43283699997</v>
      </c>
      <c r="F78" s="15">
        <f t="shared" ca="1" si="37"/>
        <v>0.10144572705247033</v>
      </c>
      <c r="G78" s="22">
        <f t="shared" ca="1" si="38"/>
        <v>208319.43283699997</v>
      </c>
      <c r="H78" s="95">
        <f t="shared" ca="1" si="39"/>
        <v>0.10427882978609686</v>
      </c>
      <c r="N78" s="28"/>
      <c r="O78" s="28"/>
      <c r="P78" s="28"/>
      <c r="Q78" s="82" t="s">
        <v>41</v>
      </c>
      <c r="R78" s="22">
        <f t="shared" ca="1" si="40"/>
        <v>1864711.6246099998</v>
      </c>
      <c r="S78" s="15">
        <f t="shared" ca="1" si="41"/>
        <v>0.6891765712930209</v>
      </c>
      <c r="T78" s="22">
        <f t="shared" ca="1" si="42"/>
        <v>1850535.6246099998</v>
      </c>
      <c r="U78" s="95">
        <f t="shared" ca="1" si="43"/>
        <v>0.69104642358992896</v>
      </c>
      <c r="V78" s="6"/>
      <c r="W78" s="6"/>
      <c r="X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ht="12.75" hidden="1" outlineLevel="1">
      <c r="D79" s="82" t="s">
        <v>18</v>
      </c>
      <c r="E79" s="22">
        <f t="shared" ca="1" si="36"/>
        <v>870548.91841699998</v>
      </c>
      <c r="F79" s="15">
        <f t="shared" ca="1" si="37"/>
        <v>0.423932932040264</v>
      </c>
      <c r="G79" s="22">
        <f t="shared" ca="1" si="38"/>
        <v>870548.91841699998</v>
      </c>
      <c r="H79" s="95">
        <f t="shared" ca="1" si="39"/>
        <v>0.4357722236845179</v>
      </c>
      <c r="K79" s="6"/>
      <c r="N79" s="28"/>
      <c r="O79" s="28"/>
      <c r="P79" s="28"/>
      <c r="Q79" s="82" t="s">
        <v>63</v>
      </c>
      <c r="R79" s="22">
        <f t="shared" ca="1" si="40"/>
        <v>652203.30810000002</v>
      </c>
      <c r="S79" s="15">
        <f t="shared" ca="1" si="41"/>
        <v>0.24104705184981731</v>
      </c>
      <c r="T79" s="22">
        <f t="shared" ca="1" si="42"/>
        <v>652203.30810000002</v>
      </c>
      <c r="U79" s="95">
        <f t="shared" ca="1" si="43"/>
        <v>0.24355260040509141</v>
      </c>
      <c r="V79" s="6"/>
      <c r="W79" s="6"/>
      <c r="X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ht="12.75" hidden="1" outlineLevel="1">
      <c r="A80" s="82"/>
      <c r="B80" s="87"/>
      <c r="C80" s="81"/>
      <c r="D80" s="82" t="s">
        <v>27</v>
      </c>
      <c r="E80" s="22">
        <f t="shared" ca="1" si="36"/>
        <v>384737.069992</v>
      </c>
      <c r="F80" s="15">
        <f t="shared" ca="1" si="37"/>
        <v>0.18735617343925215</v>
      </c>
      <c r="G80" s="22">
        <f t="shared" ca="1" si="38"/>
        <v>370561.069992</v>
      </c>
      <c r="H80" s="95">
        <f t="shared" ca="1" si="39"/>
        <v>0.18549241526250199</v>
      </c>
      <c r="K80" s="6"/>
      <c r="N80" s="28"/>
      <c r="O80" s="28"/>
      <c r="P80" s="28"/>
      <c r="Q80" s="96" t="s">
        <v>65</v>
      </c>
      <c r="R80" s="97">
        <f ca="1">SUM(R76:R79)</f>
        <v>2705709.5413319999</v>
      </c>
      <c r="S80" s="98">
        <f t="shared" ref="S80:U80" ca="1" si="44">SUM(S76:S79)</f>
        <v>1</v>
      </c>
      <c r="T80" s="97">
        <f t="shared" ca="1" si="44"/>
        <v>2677874.5413319999</v>
      </c>
      <c r="U80" s="99">
        <f t="shared" ca="1" si="44"/>
        <v>1</v>
      </c>
      <c r="V80" s="6"/>
      <c r="W80" s="6"/>
      <c r="X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</row>
    <row r="81" spans="1:40" ht="12.75" hidden="1" outlineLevel="1">
      <c r="A81" s="82"/>
      <c r="B81" s="87"/>
      <c r="C81" s="81"/>
      <c r="D81" s="82" t="s">
        <v>63</v>
      </c>
      <c r="E81" s="22">
        <f t="shared" si="36"/>
        <v>0</v>
      </c>
      <c r="F81" s="15">
        <f t="shared" ca="1" si="37"/>
        <v>0</v>
      </c>
      <c r="G81" s="22">
        <f ca="1">E81-M58+M59</f>
        <v>-27955.75</v>
      </c>
      <c r="H81" s="95">
        <f t="shared" ca="1" si="39"/>
        <v>-1.3993859603456567E-2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</row>
    <row r="82" spans="1:40" ht="12.75" hidden="1" outlineLevel="1">
      <c r="A82" s="82"/>
      <c r="B82" s="87"/>
      <c r="C82" s="81"/>
      <c r="D82" s="100" t="s">
        <v>65</v>
      </c>
      <c r="E82" s="101">
        <f ca="1">SUM(E76:E81)</f>
        <v>2053506.2332320001</v>
      </c>
      <c r="F82" s="102">
        <f t="shared" ca="1" si="37"/>
        <v>1</v>
      </c>
      <c r="G82" s="101">
        <f t="shared" ref="G82:H82" ca="1" si="45">SUM(G76:G81)</f>
        <v>1997715.4832320001</v>
      </c>
      <c r="H82" s="103">
        <f t="shared" ca="1" si="45"/>
        <v>0.99999999999999978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 spans="1:40" ht="12.75" hidden="1" outlineLevel="1">
      <c r="A83" s="82"/>
      <c r="B83" s="87"/>
      <c r="C83" s="81"/>
      <c r="F83" s="104" t="s">
        <v>109</v>
      </c>
      <c r="G83" s="22">
        <f ca="1">E82-G82</f>
        <v>55790.75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 spans="1:40" ht="12.75" hidden="1" outlineLevel="1">
      <c r="A84" s="82"/>
      <c r="B84" s="87"/>
      <c r="C84" s="81"/>
      <c r="D84" s="22"/>
      <c r="E84" s="22"/>
      <c r="F84" s="22"/>
      <c r="G84" s="28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ht="12.75">
      <c r="A85" s="82"/>
      <c r="B85" s="87"/>
      <c r="C85" s="81"/>
      <c r="D85" s="84" t="s">
        <v>110</v>
      </c>
      <c r="E85" s="22"/>
      <c r="F85" s="22"/>
      <c r="G85" s="54" t="s">
        <v>100</v>
      </c>
      <c r="H85" s="6"/>
      <c r="I85" s="6"/>
      <c r="J85" s="6"/>
      <c r="K85" s="6"/>
      <c r="L85" s="6"/>
      <c r="M85" s="6"/>
      <c r="N85" s="54"/>
      <c r="O85" s="54"/>
      <c r="P85" s="54"/>
      <c r="Q85" s="54" t="s">
        <v>110</v>
      </c>
      <c r="R85" s="6"/>
      <c r="S85" s="6"/>
      <c r="T85" s="54" t="s">
        <v>111</v>
      </c>
      <c r="U85" s="6"/>
      <c r="V85" s="6"/>
      <c r="W85" s="6"/>
      <c r="X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ht="12.75">
      <c r="A86" s="82"/>
      <c r="B86" s="87"/>
      <c r="C86" s="81"/>
      <c r="D86" s="1" t="s">
        <v>71</v>
      </c>
      <c r="E86" s="2" t="s">
        <v>101</v>
      </c>
      <c r="F86" s="2" t="s">
        <v>102</v>
      </c>
      <c r="G86" s="2" t="s">
        <v>103</v>
      </c>
      <c r="H86" s="90" t="s">
        <v>104</v>
      </c>
      <c r="I86" s="90" t="s">
        <v>112</v>
      </c>
      <c r="J86" s="105" t="s">
        <v>113</v>
      </c>
      <c r="K86" s="106" t="s">
        <v>114</v>
      </c>
      <c r="L86" s="6"/>
      <c r="M86" s="6"/>
      <c r="N86" s="92"/>
      <c r="O86" s="92"/>
      <c r="P86" s="92"/>
      <c r="Q86" s="1" t="s">
        <v>0</v>
      </c>
      <c r="R86" s="3" t="s">
        <v>101</v>
      </c>
      <c r="S86" s="3" t="s">
        <v>102</v>
      </c>
      <c r="T86" s="3" t="s">
        <v>103</v>
      </c>
      <c r="U86" s="93" t="s">
        <v>104</v>
      </c>
      <c r="V86" s="3" t="s">
        <v>112</v>
      </c>
      <c r="W86" s="3" t="s">
        <v>113</v>
      </c>
      <c r="X86" s="93" t="s">
        <v>114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</row>
    <row r="87" spans="1:40" ht="12.75">
      <c r="A87" s="82"/>
      <c r="B87" s="87"/>
      <c r="C87" s="81"/>
      <c r="D87" s="82" t="str">
        <f t="shared" ref="D87:E87" si="46">D76</f>
        <v>Consumer</v>
      </c>
      <c r="E87" s="22">
        <f t="shared" ca="1" si="46"/>
        <v>197712.69741200004</v>
      </c>
      <c r="F87" s="69">
        <f t="shared" ref="F87:F91" ca="1" si="47">E87/$E$92</f>
        <v>9.6280544082313943E-2</v>
      </c>
      <c r="G87" s="34">
        <f ca="1">E87+(IF($D$43=D87, $M$43, 0)+IF($D$44=D87, $M$44, 0)+IF($D$45=D87, $M$45, 0)+IF($D$46=D87, $M$46, 0)-IF($D$49=D87, $M$49, 0)-IF($D$50=D87, $M$50, 0)-IF($D$51=D87, $M$51, 0)-IF($D$52=D87, $M$52, 0))</f>
        <v>197712.69741200004</v>
      </c>
      <c r="H87" s="107">
        <f t="shared" ref="H87:H91" ca="1" si="48">G87/$G$92</f>
        <v>9.9745543659411434E-2</v>
      </c>
      <c r="I87" s="108">
        <f t="shared" ref="I87:I91" ca="1" si="49">H87-K87</f>
        <v>-5.9024365185625122E-2</v>
      </c>
      <c r="J87" s="109">
        <f>10.73%+5.12%</f>
        <v>0.1585</v>
      </c>
      <c r="K87" s="110">
        <f t="shared" ref="K87:K91" si="50">J87/SUM($J$87:$J$91)</f>
        <v>0.15876990884503656</v>
      </c>
      <c r="L87" s="6"/>
      <c r="M87" s="6"/>
      <c r="N87" s="28"/>
      <c r="O87" s="28"/>
      <c r="P87" s="28"/>
      <c r="Q87" s="7" t="s">
        <v>105</v>
      </c>
      <c r="R87" s="11">
        <f t="shared" ref="R87:R89" ca="1" si="51">SUMIF($B$2:$B$37,Q87,$G$2:$G$37)</f>
        <v>165349.608622</v>
      </c>
      <c r="S87" s="111">
        <f t="shared" ref="S87:S89" ca="1" si="52">R87/$R$90</f>
        <v>8.0520626597639949E-2</v>
      </c>
      <c r="T87" s="11">
        <f t="shared" ref="T87:T89" ca="1" si="53">R87+(IF($E$43=Q87, $M$43, 0)+IF($E$44=Q87, $M$44, 0)+IF($E$45=Q87, $M$45, 0)+IF($E$46=Q87, $M$46, 0)-IF($E$49=Q87, $M$49, 0)-IF($E$50=Q87, $M$50, 0)-IF($E$51=Q87, $M$51, 0)-IF($E$52=Q87, $M$52, 0))</f>
        <v>151708.608622</v>
      </c>
      <c r="U87" s="62">
        <f t="shared" ref="U87:U89" ca="1" si="54">T87/$T$90</f>
        <v>7.4893006393710701E-2</v>
      </c>
      <c r="V87" s="14">
        <f t="shared" ref="V87:V89" ca="1" si="55">U87-X87</f>
        <v>-0.11804722625771329</v>
      </c>
      <c r="W87" s="112">
        <v>0.19239999999999999</v>
      </c>
      <c r="X87" s="110">
        <f t="shared" ref="X87:X89" si="56">W87/$W$91</f>
        <v>0.19294023265142399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</row>
    <row r="88" spans="1:40" ht="12.75">
      <c r="A88" s="82"/>
      <c r="B88" s="87"/>
      <c r="C88" s="81"/>
      <c r="D88" s="82" t="str">
        <f t="shared" ref="D88:E88" si="57">D77</f>
        <v>IME</v>
      </c>
      <c r="E88" s="22">
        <f t="shared" ca="1" si="57"/>
        <v>392188.11457399995</v>
      </c>
      <c r="F88" s="69">
        <f t="shared" ca="1" si="47"/>
        <v>0.19098462338569949</v>
      </c>
      <c r="G88" s="34">
        <f ca="1">E88+(IF($D$43=D88, $M$43, 0)+IF($D$44=D88, $M$44, 0)+IF($D$45=D88, $M$45, 0)+IF($D$46=D88, $M$46, 0)-IF($D$49=D88, $M$49, 0)-IF($D$50=D88, $M$50, 0)-IF($D$51=D88, $M$51, 0)-IF($D$52=D88, $M$52, 0)-IF($D$53=D88, $M$53, 0)-IF($D$54=D88, $M$54, 0))</f>
        <v>335028.61457399995</v>
      </c>
      <c r="H88" s="107">
        <f t="shared" ca="1" si="48"/>
        <v>0.16902106814367288</v>
      </c>
      <c r="I88" s="108">
        <f t="shared" ca="1" si="49"/>
        <v>-8.0800036784247076E-3</v>
      </c>
      <c r="J88" s="113">
        <f>9.82%+3.21%+2.34%+2.31%</f>
        <v>0.17680000000000001</v>
      </c>
      <c r="K88" s="95">
        <f t="shared" si="50"/>
        <v>0.17710107182209758</v>
      </c>
      <c r="L88" s="6"/>
      <c r="M88" s="6"/>
      <c r="N88" s="28"/>
      <c r="O88" s="28"/>
      <c r="P88" s="28"/>
      <c r="Q88" s="82" t="s">
        <v>106</v>
      </c>
      <c r="R88" s="22">
        <f t="shared" ca="1" si="51"/>
        <v>23445</v>
      </c>
      <c r="S88" s="114">
        <f t="shared" ca="1" si="52"/>
        <v>1.1417058112894096E-2</v>
      </c>
      <c r="T88" s="22">
        <f t="shared" ca="1" si="53"/>
        <v>23427</v>
      </c>
      <c r="U88" s="70">
        <f t="shared" ca="1" si="54"/>
        <v>1.15650553829615E-2</v>
      </c>
      <c r="V88" s="15">
        <f t="shared" ca="1" si="55"/>
        <v>-6.9261258295337746E-2</v>
      </c>
      <c r="W88" s="115">
        <v>8.0600000000000005E-2</v>
      </c>
      <c r="X88" s="95">
        <f t="shared" si="56"/>
        <v>8.0826313678299247E-2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 spans="1:40" ht="12.75">
      <c r="A89" s="82"/>
      <c r="B89" s="87"/>
      <c r="C89" s="81"/>
      <c r="D89" s="82" t="str">
        <f t="shared" ref="D89:E89" si="58">D78</f>
        <v>Healthcare</v>
      </c>
      <c r="E89" s="22">
        <f t="shared" ca="1" si="58"/>
        <v>208319.43283699997</v>
      </c>
      <c r="F89" s="69">
        <f t="shared" ca="1" si="47"/>
        <v>0.10144572705247033</v>
      </c>
      <c r="G89" s="34">
        <f t="shared" ref="G89:G91" ca="1" si="59">E89+(IF($D$43=D89, $M$43, 0)+IF($D$44=D89, $M$44, 0)+IF($D$45=D89, $M$45, 0)+IF($D$46=D89, $M$46, 0)-IF($D$49=D89, $M$49, 0)-IF($D$50=D89, $M$50, 0)-IF($D$51=D89, $M$51, 0)-IF($D$52=D89, $M$52, 0))</f>
        <v>208319.43283699997</v>
      </c>
      <c r="H89" s="107">
        <f t="shared" ca="1" si="48"/>
        <v>0.10509661420402858</v>
      </c>
      <c r="I89" s="108">
        <f t="shared" ca="1" si="49"/>
        <v>1.0235350054975181E-2</v>
      </c>
      <c r="J89" s="113">
        <v>9.4700000000000006E-2</v>
      </c>
      <c r="K89" s="95">
        <f t="shared" si="50"/>
        <v>9.4861264149053395E-2</v>
      </c>
      <c r="L89" s="6"/>
      <c r="M89" s="6"/>
      <c r="N89" s="28"/>
      <c r="O89" s="28"/>
      <c r="P89" s="28"/>
      <c r="Q89" s="116" t="s">
        <v>41</v>
      </c>
      <c r="R89" s="76">
        <f t="shared" ca="1" si="51"/>
        <v>1864711.6246099998</v>
      </c>
      <c r="S89" s="117">
        <f t="shared" ca="1" si="52"/>
        <v>0.9080623152894659</v>
      </c>
      <c r="T89" s="76">
        <f t="shared" ca="1" si="53"/>
        <v>1850535.6246099998</v>
      </c>
      <c r="U89" s="80">
        <f t="shared" ca="1" si="54"/>
        <v>0.91354193822332774</v>
      </c>
      <c r="V89" s="79">
        <f t="shared" ca="1" si="55"/>
        <v>0.18730848455305105</v>
      </c>
      <c r="W89" s="118">
        <v>0.72419999999999995</v>
      </c>
      <c r="X89" s="119">
        <f t="shared" si="56"/>
        <v>0.7262334536702767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</row>
    <row r="90" spans="1:40" ht="12.75">
      <c r="A90" s="82"/>
      <c r="B90" s="87"/>
      <c r="C90" s="81"/>
      <c r="D90" s="82" t="str">
        <f t="shared" ref="D90:E90" si="60">D79</f>
        <v>TMT</v>
      </c>
      <c r="E90" s="22">
        <f t="shared" ca="1" si="60"/>
        <v>870548.91841699998</v>
      </c>
      <c r="F90" s="69">
        <f t="shared" ca="1" si="47"/>
        <v>0.423932932040264</v>
      </c>
      <c r="G90" s="34">
        <f t="shared" ca="1" si="59"/>
        <v>870548.91841699998</v>
      </c>
      <c r="H90" s="107">
        <f t="shared" ca="1" si="48"/>
        <v>0.43918967413949195</v>
      </c>
      <c r="I90" s="108">
        <f t="shared" ca="1" si="49"/>
        <v>3.9209708197390392E-2</v>
      </c>
      <c r="J90" s="113">
        <f>30.85%+9.08%</f>
        <v>0.39929999999999999</v>
      </c>
      <c r="K90" s="95">
        <f t="shared" si="50"/>
        <v>0.39997996594210156</v>
      </c>
      <c r="L90" s="6"/>
      <c r="M90" s="6"/>
      <c r="N90" s="54"/>
      <c r="O90" s="54"/>
      <c r="P90" s="54"/>
      <c r="Q90" s="100" t="s">
        <v>65</v>
      </c>
      <c r="R90" s="101">
        <f ca="1">SUM(R87:R89)</f>
        <v>2053506.2332319999</v>
      </c>
      <c r="S90" s="102">
        <f ca="1">SUM(S87:S89)</f>
        <v>1</v>
      </c>
      <c r="T90" s="101">
        <f ca="1">SUM(T87:T89)</f>
        <v>2025671.2332319999</v>
      </c>
      <c r="U90" s="103">
        <f ca="1">SUM(U87:U89)</f>
        <v>1</v>
      </c>
      <c r="V90" s="98"/>
      <c r="W90" s="120">
        <f>1-W91</f>
        <v>2.8000000000000247E-3</v>
      </c>
      <c r="X90" s="99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</row>
    <row r="91" spans="1:40" ht="12.75">
      <c r="A91" s="6"/>
      <c r="B91" s="6"/>
      <c r="C91" s="6"/>
      <c r="D91" s="82" t="str">
        <f t="shared" ref="D91:E91" si="61">D80</f>
        <v>Financial</v>
      </c>
      <c r="E91" s="22">
        <f t="shared" ca="1" si="61"/>
        <v>384737.069992</v>
      </c>
      <c r="F91" s="69">
        <f t="shared" ca="1" si="47"/>
        <v>0.18735617343925215</v>
      </c>
      <c r="G91" s="34">
        <f t="shared" ca="1" si="59"/>
        <v>370561.069992</v>
      </c>
      <c r="H91" s="107">
        <f t="shared" ca="1" si="48"/>
        <v>0.18694709985339505</v>
      </c>
      <c r="I91" s="108">
        <f t="shared" ca="1" si="49"/>
        <v>1.7659310611684159E-2</v>
      </c>
      <c r="J91" s="121">
        <f>14.45%+2.45%</f>
        <v>0.16899999999999998</v>
      </c>
      <c r="K91" s="119">
        <f t="shared" si="50"/>
        <v>0.1692877892417109</v>
      </c>
      <c r="L91" s="6"/>
      <c r="M91" s="6"/>
      <c r="T91" s="6"/>
      <c r="U91" s="6"/>
      <c r="V91" s="6"/>
      <c r="W91" s="122">
        <f>SUM(W87:W89)</f>
        <v>0.99719999999999998</v>
      </c>
      <c r="X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 spans="1:40" ht="12.75">
      <c r="A92" s="6"/>
      <c r="B92" s="6"/>
      <c r="C92" s="6"/>
      <c r="D92" s="100" t="s">
        <v>65</v>
      </c>
      <c r="E92" s="101">
        <f t="shared" ref="E92:H92" ca="1" si="62">SUM(E87:E91)</f>
        <v>2053506.2332320001</v>
      </c>
      <c r="F92" s="102">
        <f t="shared" ca="1" si="62"/>
        <v>1</v>
      </c>
      <c r="G92" s="101">
        <f t="shared" ca="1" si="62"/>
        <v>1982170.7332320001</v>
      </c>
      <c r="H92" s="103">
        <f t="shared" ca="1" si="62"/>
        <v>0.99999999999999989</v>
      </c>
      <c r="I92" s="103"/>
      <c r="J92" s="123">
        <f t="shared" ref="J92:K92" si="63">SUM(J87:J91)</f>
        <v>0.99829999999999997</v>
      </c>
      <c r="K92" s="124">
        <f t="shared" si="63"/>
        <v>1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 spans="1:40" ht="12.75">
      <c r="A93" s="6"/>
      <c r="B93" s="6"/>
      <c r="C93" s="6"/>
      <c r="D93" s="6"/>
      <c r="E93" s="6"/>
      <c r="F93" s="104" t="s">
        <v>115</v>
      </c>
      <c r="G93" s="22">
        <f ca="1">G92-E92</f>
        <v>-71335.5</v>
      </c>
      <c r="H93" s="6"/>
      <c r="I93" s="125" t="s">
        <v>116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</row>
    <row r="94" spans="1:40" ht="12.75">
      <c r="A94" s="6"/>
      <c r="B94" s="6"/>
      <c r="C94" s="6"/>
      <c r="D94" s="6"/>
      <c r="E94" s="6"/>
      <c r="F94" s="6"/>
      <c r="G94" s="6"/>
      <c r="H94" s="6"/>
      <c r="I94" s="125" t="s">
        <v>117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</row>
    <row r="95" spans="1:40" ht="12.75">
      <c r="A95" s="6"/>
      <c r="B95" s="6"/>
      <c r="C95" s="6"/>
      <c r="D95" s="6"/>
      <c r="E95" s="6"/>
      <c r="F95" s="6"/>
      <c r="G95" s="6"/>
      <c r="H95" s="6"/>
      <c r="I95" s="12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</row>
    <row r="96" spans="1:40" ht="12.75">
      <c r="A96" s="6"/>
      <c r="B96" s="6"/>
      <c r="C96" s="6"/>
      <c r="D96" s="6"/>
      <c r="E96" s="6"/>
      <c r="F96" s="6"/>
      <c r="G96" s="6"/>
      <c r="H96" s="6"/>
      <c r="I96" s="12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</row>
    <row r="97" spans="1:40" ht="12.75">
      <c r="A97" s="6"/>
      <c r="B97" s="6"/>
      <c r="C97" s="6"/>
      <c r="D97" s="6"/>
      <c r="E97" s="6"/>
      <c r="F97" s="6"/>
      <c r="G97" s="6"/>
      <c r="H97" s="6"/>
      <c r="I97" s="12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</row>
    <row r="98" spans="1:40" ht="12.75">
      <c r="A98" s="6"/>
      <c r="B98" s="6"/>
      <c r="C98" s="6"/>
      <c r="D98" s="6"/>
      <c r="E98" s="6"/>
      <c r="F98" s="6"/>
      <c r="G98" s="6"/>
      <c r="H98" s="6"/>
      <c r="I98" s="12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</row>
    <row r="99" spans="1:40" ht="12.7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</row>
    <row r="100" spans="1:40" ht="12.7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</row>
    <row r="101" spans="1:40" ht="12.7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</row>
    <row r="102" spans="1:40" ht="12.7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</row>
    <row r="103" spans="1:40" ht="12.7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 spans="1:40" ht="12.7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</row>
    <row r="105" spans="1:40" ht="12.7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</row>
    <row r="106" spans="1:40" ht="12.7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</row>
    <row r="107" spans="1:40" ht="12.7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</row>
    <row r="108" spans="1:40" ht="12.7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</row>
    <row r="109" spans="1:40" ht="12.7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</row>
    <row r="110" spans="1:40" ht="12.7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</row>
    <row r="111" spans="1:40" ht="12.7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</row>
    <row r="112" spans="1:40" ht="12.7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</row>
    <row r="113" spans="1:40" ht="12.7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</row>
    <row r="114" spans="1:40" ht="12.7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</row>
    <row r="115" spans="1:40" ht="12.7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</row>
    <row r="116" spans="1:40" ht="12.7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</row>
    <row r="117" spans="1:40" ht="12.7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</row>
    <row r="118" spans="1:40" ht="12.7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</row>
    <row r="119" spans="1:40" ht="12.7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</row>
    <row r="120" spans="1:40" ht="12.7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</row>
    <row r="121" spans="1:40" ht="12.7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</row>
    <row r="122" spans="1:40" ht="12.7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</row>
    <row r="123" spans="1:40" ht="12.7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</row>
    <row r="124" spans="1:40" ht="12.7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</row>
    <row r="125" spans="1:40" ht="12.7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</row>
    <row r="126" spans="1:40" ht="12.7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</row>
    <row r="127" spans="1:40" ht="12.7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</row>
    <row r="128" spans="1:40" ht="12.7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</row>
    <row r="129" spans="1:40" ht="12.7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</row>
    <row r="130" spans="1:40" ht="12.7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</row>
    <row r="131" spans="1:40" ht="12.7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</row>
    <row r="132" spans="1:40" ht="12.7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</row>
    <row r="133" spans="1:40" ht="12.7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</row>
    <row r="134" spans="1:40" ht="12.7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</row>
    <row r="135" spans="1:40" ht="12.7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</row>
    <row r="136" spans="1:40" ht="12.7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</row>
    <row r="137" spans="1:40" ht="12.7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</row>
    <row r="138" spans="1:40" ht="12.7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</row>
    <row r="139" spans="1:40" ht="12.7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</row>
    <row r="140" spans="1:40" ht="12.7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</row>
    <row r="141" spans="1:40" ht="12.7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</row>
    <row r="142" spans="1:40" ht="12.7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</row>
    <row r="143" spans="1:40" ht="12.7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</row>
    <row r="144" spans="1:40" ht="12.7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</row>
    <row r="145" spans="1:40" ht="12.7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</row>
    <row r="146" spans="1:40" ht="12.7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</row>
    <row r="147" spans="1:40" ht="12.7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</row>
    <row r="148" spans="1:40" ht="12.7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</row>
    <row r="149" spans="1:40" ht="12.7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</row>
    <row r="150" spans="1:40" ht="12.7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</row>
    <row r="151" spans="1:40" ht="12.7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</row>
    <row r="152" spans="1:40" ht="12.7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</row>
    <row r="153" spans="1:40" ht="12.7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</row>
    <row r="154" spans="1:40" ht="12.7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</row>
    <row r="155" spans="1:40" ht="12.7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</row>
    <row r="156" spans="1:40" ht="12.7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</row>
    <row r="157" spans="1:40" ht="12.7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</row>
    <row r="158" spans="1:40" ht="12.7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</row>
    <row r="159" spans="1:40" ht="12.7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</row>
    <row r="160" spans="1:40" ht="12.7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</row>
    <row r="161" spans="1:40" ht="12.7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</row>
    <row r="162" spans="1:40" ht="12.7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</row>
    <row r="163" spans="1:40" ht="12.7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</row>
    <row r="164" spans="1:40" ht="12.7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</row>
    <row r="165" spans="1:40" ht="12.7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</row>
    <row r="166" spans="1:40" ht="12.7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</row>
    <row r="167" spans="1:40" ht="12.7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</row>
    <row r="168" spans="1:40" ht="12.7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2.7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12.7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 spans="1:40" ht="12.7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</row>
    <row r="172" spans="1:40" ht="12.7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</row>
    <row r="173" spans="1:40" ht="12.7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</row>
    <row r="174" spans="1:40" ht="12.7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</row>
    <row r="175" spans="1:40" ht="12.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</row>
    <row r="176" spans="1:40" ht="12.7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</row>
    <row r="177" spans="1:40" ht="12.7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</row>
    <row r="178" spans="1:40" ht="12.7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</row>
    <row r="179" spans="1:40" ht="12.7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</row>
    <row r="180" spans="1:40" ht="12.7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</row>
    <row r="181" spans="1:40" ht="12.7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</row>
    <row r="182" spans="1:40" ht="12.7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</row>
    <row r="183" spans="1:40" ht="12.7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</row>
    <row r="184" spans="1:40" ht="12.7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</row>
    <row r="185" spans="1:40" ht="12.7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</row>
    <row r="186" spans="1:40" ht="12.7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</row>
    <row r="187" spans="1:40" ht="12.7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</row>
    <row r="188" spans="1:40" ht="12.7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</row>
    <row r="189" spans="1:40" ht="12.7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</row>
    <row r="190" spans="1:40" ht="12.7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</row>
    <row r="191" spans="1:40" ht="12.7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</row>
    <row r="192" spans="1:40" ht="12.7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</row>
    <row r="193" spans="1:40" ht="12.7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</row>
    <row r="194" spans="1:40" ht="12.7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</row>
    <row r="195" spans="1:40" ht="12.7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</row>
    <row r="196" spans="1:40" ht="12.7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</row>
    <row r="197" spans="1:40" ht="12.7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</row>
    <row r="198" spans="1:40" ht="12.7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</row>
    <row r="199" spans="1:40" ht="12.7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</row>
    <row r="200" spans="1:40" ht="12.7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</row>
    <row r="201" spans="1:40" ht="12.7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</row>
    <row r="202" spans="1:40" ht="12.7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</row>
    <row r="203" spans="1:40" ht="12.7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</row>
    <row r="204" spans="1:40" ht="12.7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</row>
    <row r="205" spans="1:40" ht="12.7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</row>
    <row r="206" spans="1:40" ht="12.7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</row>
    <row r="207" spans="1:40" ht="12.7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</row>
    <row r="208" spans="1:40" ht="12.7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</row>
    <row r="209" spans="1:40" ht="12.7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</row>
    <row r="210" spans="1:40" ht="12.7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</row>
    <row r="211" spans="1:40" ht="12.7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</row>
    <row r="212" spans="1:40" ht="12.7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</row>
    <row r="213" spans="1:40" ht="12.7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</row>
    <row r="214" spans="1:40" ht="12.7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</row>
    <row r="215" spans="1:40" ht="12.7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</row>
    <row r="216" spans="1:40" ht="12.7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</row>
    <row r="217" spans="1:40" ht="12.7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</row>
    <row r="218" spans="1:40" ht="12.7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</row>
    <row r="219" spans="1:40" ht="12.7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</row>
    <row r="220" spans="1:40" ht="12.7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</row>
    <row r="221" spans="1:40" ht="12.7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</row>
    <row r="222" spans="1:40" ht="12.7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</row>
    <row r="223" spans="1:40" ht="12.7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</row>
    <row r="224" spans="1:40" ht="12.7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</row>
    <row r="225" spans="1:40" ht="12.7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</row>
    <row r="226" spans="1:40" ht="12.7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</row>
    <row r="227" spans="1:40" ht="12.7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</row>
    <row r="228" spans="1:40" ht="12.7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</row>
    <row r="229" spans="1:40" ht="12.7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</row>
    <row r="230" spans="1:40" ht="12.7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</row>
    <row r="231" spans="1:40" ht="12.7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</row>
    <row r="232" spans="1:40" ht="12.7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</row>
    <row r="233" spans="1:40" ht="12.7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</row>
    <row r="234" spans="1:40" ht="12.7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</row>
    <row r="235" spans="1:40" ht="12.7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</row>
    <row r="236" spans="1:40" ht="12.7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2.7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12.7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</row>
    <row r="239" spans="1:40" ht="12.7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</row>
    <row r="240" spans="1:40" ht="12.7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</row>
    <row r="241" spans="1:40" ht="12.7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12.7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2.7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</row>
    <row r="244" spans="1:40" ht="12.7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2.7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</row>
    <row r="246" spans="1:40" ht="12.7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</row>
    <row r="247" spans="1:40" ht="12.7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</row>
    <row r="248" spans="1:40" ht="12.7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</row>
    <row r="249" spans="1:40" ht="12.7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</row>
    <row r="250" spans="1:40" ht="12.7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</row>
    <row r="251" spans="1:40" ht="12.7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</row>
    <row r="252" spans="1:40" ht="12.7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</row>
    <row r="253" spans="1:40" ht="12.7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</row>
    <row r="254" spans="1:40" ht="12.7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</row>
    <row r="255" spans="1:40" ht="12.7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</row>
    <row r="256" spans="1:40" ht="12.7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</row>
    <row r="257" spans="1:40" ht="12.7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</row>
    <row r="258" spans="1:40" ht="12.7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</row>
    <row r="259" spans="1:40" ht="12.7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</row>
    <row r="260" spans="1:40" ht="12.7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</row>
    <row r="261" spans="1:40" ht="12.7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</row>
    <row r="262" spans="1:40" ht="12.7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</row>
    <row r="263" spans="1:40" ht="12.7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</row>
    <row r="264" spans="1:40" ht="12.7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</row>
    <row r="265" spans="1:40" ht="12.7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</row>
    <row r="266" spans="1:40" ht="12.7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</row>
    <row r="267" spans="1:40" ht="12.7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</row>
    <row r="268" spans="1:40" ht="12.7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</row>
    <row r="269" spans="1:40" ht="12.7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</row>
    <row r="270" spans="1:40" ht="12.7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</row>
    <row r="271" spans="1:40" ht="12.7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</row>
    <row r="272" spans="1:40" ht="12.7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</row>
    <row r="273" spans="1:40" ht="12.7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</row>
    <row r="274" spans="1:40" ht="12.7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</row>
    <row r="275" spans="1:40" ht="12.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</row>
    <row r="276" spans="1:40" ht="12.7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</row>
    <row r="277" spans="1:40" ht="12.7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</row>
    <row r="278" spans="1:40" ht="12.7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</row>
    <row r="279" spans="1:40" ht="12.7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</row>
    <row r="280" spans="1:40" ht="12.7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</row>
    <row r="281" spans="1:40" ht="12.7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</row>
    <row r="282" spans="1:40" ht="12.7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</row>
    <row r="283" spans="1:40" ht="12.7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</row>
    <row r="284" spans="1:40" ht="12.7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</row>
    <row r="285" spans="1:40" ht="12.7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</row>
    <row r="286" spans="1:40" ht="12.7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</row>
    <row r="287" spans="1:40" ht="12.7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</row>
    <row r="288" spans="1:40" ht="12.7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</row>
    <row r="289" spans="1:40" ht="12.7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</row>
    <row r="290" spans="1:40" ht="12.7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</row>
    <row r="291" spans="1:40" ht="12.7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</row>
    <row r="292" spans="1:40" ht="12.7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</row>
    <row r="293" spans="1:40" ht="12.7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</row>
    <row r="294" spans="1:40" ht="12.7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</row>
    <row r="295" spans="1:40" ht="12.7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</row>
    <row r="296" spans="1:40" ht="12.7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</row>
    <row r="297" spans="1:40" ht="12.7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</row>
    <row r="298" spans="1:40" ht="12.7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</row>
    <row r="299" spans="1:40" ht="12.7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</row>
    <row r="300" spans="1:40" ht="12.7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</row>
    <row r="301" spans="1:40" ht="12.7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</row>
    <row r="302" spans="1:40" ht="12.7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</row>
    <row r="303" spans="1:40" ht="12.7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</row>
    <row r="304" spans="1:40" ht="12.7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</row>
    <row r="305" spans="1:40" ht="12.7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</row>
    <row r="306" spans="1:40" ht="12.7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</row>
    <row r="307" spans="1:40" ht="12.7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</row>
    <row r="308" spans="1:40" ht="12.7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</row>
    <row r="309" spans="1:40" ht="12.7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</row>
    <row r="310" spans="1:40" ht="12.7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12.7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</row>
    <row r="312" spans="1:40" ht="12.7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2.7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</row>
    <row r="314" spans="1:40" ht="12.7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</row>
    <row r="315" spans="1:40" ht="12.7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</row>
    <row r="316" spans="1:40" ht="12.7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</row>
    <row r="317" spans="1:40" ht="12.7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</row>
    <row r="318" spans="1:40" ht="12.7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</row>
    <row r="319" spans="1:40" ht="12.7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</row>
    <row r="320" spans="1:40" ht="12.7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</row>
    <row r="321" spans="1:40" ht="12.7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</row>
    <row r="322" spans="1:40" ht="12.7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</row>
    <row r="323" spans="1:40" ht="12.7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</row>
    <row r="324" spans="1:40" ht="12.7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</row>
    <row r="325" spans="1:40" ht="12.7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</row>
    <row r="326" spans="1:40" ht="12.7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</row>
    <row r="327" spans="1:40" ht="12.7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</row>
    <row r="328" spans="1:40" ht="12.7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</row>
    <row r="329" spans="1:40" ht="12.7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</row>
    <row r="330" spans="1:40" ht="12.7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</row>
    <row r="331" spans="1:40" ht="12.7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</row>
    <row r="332" spans="1:40" ht="12.7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</row>
    <row r="333" spans="1:40" ht="12.7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</row>
    <row r="334" spans="1:40" ht="12.7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</row>
    <row r="335" spans="1:40" ht="12.7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</row>
    <row r="336" spans="1:40" ht="12.7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</row>
    <row r="337" spans="1:40" ht="12.7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</row>
    <row r="338" spans="1:40" ht="12.7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</row>
    <row r="339" spans="1:40" ht="12.7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</row>
    <row r="340" spans="1:40" ht="12.7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</row>
    <row r="341" spans="1:40" ht="12.7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</row>
    <row r="342" spans="1:40" ht="12.7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</row>
    <row r="343" spans="1:40" ht="12.7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</row>
    <row r="344" spans="1:40" ht="12.7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</row>
    <row r="345" spans="1:40" ht="12.7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</row>
    <row r="346" spans="1:40" ht="12.7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</row>
    <row r="347" spans="1:40" ht="12.7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</row>
    <row r="348" spans="1:40" ht="12.7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</row>
    <row r="349" spans="1:40" ht="12.7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</row>
    <row r="350" spans="1:40" ht="12.7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</row>
    <row r="351" spans="1:40" ht="12.7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</row>
    <row r="352" spans="1:40" ht="12.7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</row>
    <row r="353" spans="1:40" ht="12.7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</row>
    <row r="354" spans="1:40" ht="12.7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</row>
    <row r="355" spans="1:40" ht="12.7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</row>
    <row r="356" spans="1:40" ht="12.7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</row>
    <row r="357" spans="1:40" ht="12.7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</row>
    <row r="358" spans="1:40" ht="12.7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</row>
    <row r="359" spans="1:40" ht="12.7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</row>
    <row r="360" spans="1:40" ht="12.7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</row>
    <row r="361" spans="1:40" ht="12.7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</row>
    <row r="362" spans="1:40" ht="12.7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</row>
    <row r="363" spans="1:40" ht="12.7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</row>
    <row r="364" spans="1:40" ht="12.7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</row>
    <row r="365" spans="1:40" ht="12.7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</row>
    <row r="366" spans="1:40" ht="12.7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</row>
    <row r="367" spans="1:40" ht="12.7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</row>
    <row r="368" spans="1:40" ht="12.7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</row>
    <row r="369" spans="1:40" ht="12.7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</row>
    <row r="370" spans="1:40" ht="12.7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</row>
    <row r="371" spans="1:40" ht="12.7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</row>
    <row r="372" spans="1:40" ht="12.7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</row>
    <row r="373" spans="1:40" ht="12.7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</row>
    <row r="374" spans="1:40" ht="12.7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</row>
    <row r="375" spans="1:40" ht="12.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</row>
    <row r="376" spans="1:40" ht="12.7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</row>
    <row r="377" spans="1:40" ht="12.7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</row>
    <row r="378" spans="1:40" ht="12.7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</row>
    <row r="379" spans="1:40" ht="12.7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</row>
    <row r="380" spans="1:40" ht="12.7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</row>
    <row r="381" spans="1:40" ht="12.7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</row>
    <row r="382" spans="1:40" ht="12.7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</row>
    <row r="383" spans="1:40" ht="12.7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</row>
    <row r="384" spans="1:40" ht="12.7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</row>
    <row r="385" spans="1:40" ht="12.7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</row>
    <row r="386" spans="1:40" ht="12.7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</row>
    <row r="387" spans="1:40" ht="12.7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</row>
    <row r="388" spans="1:40" ht="12.7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</row>
    <row r="389" spans="1:40" ht="12.7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</row>
    <row r="390" spans="1:40" ht="12.7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</row>
    <row r="391" spans="1:40" ht="12.7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</row>
    <row r="392" spans="1:40" ht="12.7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</row>
    <row r="393" spans="1:40" ht="12.7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</row>
    <row r="394" spans="1:40" ht="12.7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</row>
    <row r="395" spans="1:40" ht="12.7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</row>
    <row r="396" spans="1:40" ht="12.7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</row>
    <row r="397" spans="1:40" ht="12.7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</row>
    <row r="398" spans="1:40" ht="12.7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</row>
    <row r="399" spans="1:40" ht="12.7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</row>
    <row r="400" spans="1:40" ht="12.7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</row>
    <row r="401" spans="1:40" ht="12.7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</row>
    <row r="402" spans="1:40" ht="12.7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</row>
    <row r="403" spans="1:40" ht="12.7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</row>
    <row r="404" spans="1:40" ht="12.7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</row>
    <row r="405" spans="1:40" ht="12.7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</row>
    <row r="406" spans="1:40" ht="12.7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</row>
    <row r="407" spans="1:40" ht="12.7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</row>
    <row r="408" spans="1:40" ht="12.7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</row>
    <row r="409" spans="1:40" ht="12.7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</row>
    <row r="410" spans="1:40" ht="12.7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</row>
    <row r="411" spans="1:40" ht="12.7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</row>
    <row r="412" spans="1:40" ht="12.7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</row>
    <row r="413" spans="1:40" ht="12.7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</row>
    <row r="414" spans="1:40" ht="12.7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</row>
    <row r="415" spans="1:40" ht="12.7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</row>
    <row r="416" spans="1:40" ht="12.7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</row>
    <row r="417" spans="1:40" ht="12.7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</row>
    <row r="418" spans="1:40" ht="12.7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</row>
    <row r="419" spans="1:40" ht="12.7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</row>
    <row r="420" spans="1:40" ht="12.7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</row>
    <row r="421" spans="1:40" ht="12.7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</row>
    <row r="422" spans="1:40" ht="12.7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</row>
    <row r="423" spans="1:40" ht="12.7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</row>
    <row r="424" spans="1:40" ht="12.7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</row>
    <row r="425" spans="1:40" ht="12.7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</row>
    <row r="426" spans="1:40" ht="12.7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</row>
    <row r="427" spans="1:40" ht="12.7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</row>
    <row r="428" spans="1:40" ht="12.7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</row>
    <row r="429" spans="1:40" ht="12.7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</row>
    <row r="430" spans="1:40" ht="12.7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</row>
    <row r="431" spans="1:40" ht="12.7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</row>
    <row r="432" spans="1:40" ht="12.7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2.7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2.7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2.7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2.7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2.7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2.7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2.7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2.7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2.7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2.7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2.7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2.7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2.7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2.7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2.7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2.7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</row>
    <row r="449" spans="1:40" ht="12.7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</row>
    <row r="450" spans="1:40" ht="12.7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2.7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2.7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2.7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2.7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2.7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12.7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12.7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12.7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2.7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2.7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2.7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2.7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12.7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2.7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</row>
    <row r="465" spans="1:40" ht="12.7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2.7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2.7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2.7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2.7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2.7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12.7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12.7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12.7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12.7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12.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12.7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12.7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2.7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12.7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12.7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40" ht="12.7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40" ht="12.7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</row>
    <row r="483" spans="1:40" ht="12.7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40" ht="12.7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</row>
    <row r="485" spans="1:40" ht="12.7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40" ht="12.7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</row>
    <row r="487" spans="1:40" ht="12.7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</row>
    <row r="488" spans="1:40" ht="12.7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40" ht="12.7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</row>
    <row r="490" spans="1:40" ht="12.7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</row>
    <row r="491" spans="1:40" ht="12.7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</row>
    <row r="492" spans="1:40" ht="12.7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</row>
    <row r="493" spans="1:40" ht="12.7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</row>
    <row r="494" spans="1:40" ht="12.7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</row>
    <row r="495" spans="1:40" ht="12.7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</row>
    <row r="496" spans="1:40" ht="12.7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</row>
    <row r="497" spans="1:40" ht="12.7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</row>
    <row r="498" spans="1:40" ht="12.7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</row>
    <row r="499" spans="1:40" ht="12.7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</row>
    <row r="500" spans="1:40" ht="12.7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</row>
    <row r="501" spans="1:40" ht="12.7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</row>
    <row r="502" spans="1:40" ht="12.7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</row>
    <row r="503" spans="1:40" ht="12.7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</row>
    <row r="504" spans="1:40" ht="12.7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</row>
    <row r="505" spans="1:40" ht="12.7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</row>
    <row r="506" spans="1:40" ht="12.7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</row>
    <row r="507" spans="1:40" ht="12.7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</row>
    <row r="508" spans="1:40" ht="12.7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</row>
    <row r="509" spans="1:40" ht="12.7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</row>
    <row r="510" spans="1:40" ht="12.7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</row>
    <row r="511" spans="1:40" ht="12.7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</row>
    <row r="512" spans="1:40" ht="12.7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</row>
    <row r="513" spans="1:40" ht="12.7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</row>
    <row r="514" spans="1:40" ht="12.7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</row>
    <row r="515" spans="1:40" ht="12.7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</row>
    <row r="516" spans="1:40" ht="12.7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</row>
    <row r="517" spans="1:40" ht="12.7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</row>
    <row r="518" spans="1:40" ht="12.7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</row>
    <row r="519" spans="1:40" ht="12.7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</row>
    <row r="520" spans="1:40" ht="12.7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</row>
    <row r="521" spans="1:40" ht="12.7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</row>
    <row r="522" spans="1:40" ht="12.7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</row>
    <row r="523" spans="1:40" ht="12.7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</row>
    <row r="524" spans="1:40" ht="12.7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</row>
    <row r="525" spans="1:40" ht="12.7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</row>
    <row r="526" spans="1:40" ht="12.7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</row>
    <row r="527" spans="1:40" ht="12.7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</row>
    <row r="528" spans="1:40" ht="12.7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</row>
    <row r="529" spans="1:40" ht="12.7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</row>
    <row r="530" spans="1:40" ht="12.7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</row>
    <row r="531" spans="1:40" ht="12.7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</row>
    <row r="532" spans="1:40" ht="12.7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</row>
    <row r="533" spans="1:40" ht="12.7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</row>
    <row r="534" spans="1:40" ht="12.7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</row>
    <row r="535" spans="1:40" ht="12.7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</row>
    <row r="536" spans="1:40" ht="12.7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</row>
    <row r="537" spans="1:40" ht="12.7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</row>
    <row r="538" spans="1:40" ht="12.7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</row>
    <row r="539" spans="1:40" ht="12.7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</row>
    <row r="540" spans="1:40" ht="12.7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</row>
    <row r="541" spans="1:40" ht="12.7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</row>
    <row r="542" spans="1:40" ht="12.7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</row>
    <row r="543" spans="1:40" ht="12.7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</row>
    <row r="544" spans="1:40" ht="12.7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</row>
    <row r="545" spans="1:40" ht="12.7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</row>
    <row r="546" spans="1:40" ht="12.7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</row>
    <row r="547" spans="1:40" ht="12.7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</row>
    <row r="548" spans="1:40" ht="12.7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</row>
    <row r="549" spans="1:40" ht="12.7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</row>
    <row r="550" spans="1:40" ht="12.7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</row>
    <row r="551" spans="1:40" ht="12.7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</row>
    <row r="552" spans="1:40" ht="12.7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</row>
    <row r="553" spans="1:40" ht="12.7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</row>
    <row r="554" spans="1:40" ht="12.7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</row>
    <row r="555" spans="1:40" ht="12.7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</row>
    <row r="556" spans="1:40" ht="12.7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</row>
    <row r="557" spans="1:40" ht="12.7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</row>
    <row r="558" spans="1:40" ht="12.7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</row>
    <row r="559" spans="1:40" ht="12.7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</row>
    <row r="560" spans="1:40" ht="12.7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</row>
    <row r="561" spans="1:40" ht="12.7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</row>
    <row r="562" spans="1:40" ht="12.7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</row>
    <row r="563" spans="1:40" ht="12.7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</row>
    <row r="564" spans="1:40" ht="12.7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</row>
    <row r="565" spans="1:40" ht="12.7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</row>
    <row r="566" spans="1:40" ht="12.7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</row>
    <row r="567" spans="1:40" ht="12.7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</row>
    <row r="568" spans="1:40" ht="12.7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</row>
    <row r="569" spans="1:40" ht="12.7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</row>
    <row r="570" spans="1:40" ht="12.7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</row>
    <row r="571" spans="1:40" ht="12.7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</row>
    <row r="572" spans="1:40" ht="12.7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</row>
    <row r="573" spans="1:40" ht="12.7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</row>
    <row r="574" spans="1:40" ht="12.7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</row>
    <row r="575" spans="1:40" ht="12.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</row>
    <row r="576" spans="1:40" ht="12.7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</row>
    <row r="577" spans="1:40" ht="12.7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</row>
    <row r="578" spans="1:40" ht="12.7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</row>
    <row r="579" spans="1:40" ht="12.7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</row>
    <row r="580" spans="1:40" ht="12.7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</row>
    <row r="581" spans="1:40" ht="12.7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</row>
    <row r="582" spans="1:40" ht="12.7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</row>
    <row r="583" spans="1:40" ht="12.7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</row>
    <row r="584" spans="1:40" ht="12.7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</row>
    <row r="585" spans="1:40" ht="12.7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</row>
    <row r="586" spans="1:40" ht="12.7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</row>
    <row r="587" spans="1:40" ht="12.7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</row>
    <row r="588" spans="1:40" ht="12.7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</row>
    <row r="589" spans="1:40" ht="12.7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</row>
    <row r="590" spans="1:40" ht="12.7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</row>
    <row r="591" spans="1:40" ht="12.7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</row>
    <row r="592" spans="1:40" ht="12.7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</row>
    <row r="593" spans="1:40" ht="12.7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</row>
    <row r="594" spans="1:40" ht="12.7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</row>
    <row r="595" spans="1:40" ht="12.7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</row>
    <row r="596" spans="1:40" ht="12.7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</row>
    <row r="597" spans="1:40" ht="12.7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</row>
    <row r="598" spans="1:40" ht="12.7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</row>
    <row r="599" spans="1:40" ht="12.7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</row>
    <row r="600" spans="1:40" ht="12.7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</row>
    <row r="601" spans="1:40" ht="12.7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</row>
    <row r="602" spans="1:40" ht="12.7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</row>
    <row r="603" spans="1:40" ht="12.7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</row>
    <row r="604" spans="1:40" ht="12.7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</row>
    <row r="605" spans="1:40" ht="12.7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</row>
    <row r="606" spans="1:40" ht="12.7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</row>
    <row r="607" spans="1:40" ht="12.7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</row>
    <row r="608" spans="1:40" ht="12.7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</row>
    <row r="609" spans="1:40" ht="12.7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</row>
    <row r="610" spans="1:40" ht="12.7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</row>
    <row r="611" spans="1:40" ht="12.7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</row>
    <row r="612" spans="1:40" ht="12.7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</row>
    <row r="613" spans="1:40" ht="12.7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</row>
    <row r="614" spans="1:40" ht="12.7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</row>
    <row r="615" spans="1:40" ht="12.7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</row>
    <row r="616" spans="1:40" ht="12.7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</row>
    <row r="617" spans="1:40" ht="12.7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</row>
    <row r="618" spans="1:40" ht="12.7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</row>
    <row r="619" spans="1:40" ht="12.7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</row>
    <row r="620" spans="1:40" ht="12.7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</row>
    <row r="621" spans="1:40" ht="12.7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</row>
    <row r="622" spans="1:40" ht="12.7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</row>
    <row r="623" spans="1:40" ht="12.7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</row>
    <row r="624" spans="1:40" ht="12.7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</row>
    <row r="625" spans="1:40" ht="12.7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</row>
    <row r="626" spans="1:40" ht="12.7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</row>
    <row r="627" spans="1:40" ht="12.7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</row>
    <row r="628" spans="1:40" ht="12.7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</row>
    <row r="629" spans="1:40" ht="12.7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</row>
    <row r="630" spans="1:40" ht="12.7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</row>
    <row r="631" spans="1:40" ht="12.7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</row>
    <row r="632" spans="1:40" ht="12.7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</row>
    <row r="633" spans="1:40" ht="12.7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</row>
    <row r="634" spans="1:40" ht="12.7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</row>
    <row r="635" spans="1:40" ht="12.7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</row>
    <row r="636" spans="1:40" ht="12.7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</row>
    <row r="637" spans="1:40" ht="12.7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</row>
    <row r="638" spans="1:40" ht="12.7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</row>
    <row r="639" spans="1:40" ht="12.7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</row>
    <row r="640" spans="1:40" ht="12.7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</row>
    <row r="641" spans="1:40" ht="12.7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</row>
    <row r="642" spans="1:40" ht="12.7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</row>
    <row r="643" spans="1:40" ht="12.7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</row>
    <row r="644" spans="1:40" ht="12.7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</row>
    <row r="645" spans="1:40" ht="12.7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</row>
    <row r="646" spans="1:40" ht="12.7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</row>
    <row r="647" spans="1:40" ht="12.7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</row>
    <row r="648" spans="1:40" ht="12.7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</row>
    <row r="649" spans="1:40" ht="12.7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</row>
    <row r="650" spans="1:40" ht="12.7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</row>
    <row r="651" spans="1:40" ht="12.7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</row>
    <row r="652" spans="1:40" ht="12.7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</row>
    <row r="653" spans="1:40" ht="12.7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</row>
    <row r="654" spans="1:40" ht="12.7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</row>
    <row r="655" spans="1:40" ht="12.7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</row>
    <row r="656" spans="1:40" ht="12.7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</row>
    <row r="657" spans="1:40" ht="12.7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</row>
    <row r="658" spans="1:40" ht="12.7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</row>
    <row r="659" spans="1:40" ht="12.7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</row>
    <row r="660" spans="1:40" ht="12.7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</row>
    <row r="661" spans="1:40" ht="12.7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</row>
    <row r="662" spans="1:40" ht="12.7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</row>
    <row r="663" spans="1:40" ht="12.7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</row>
    <row r="664" spans="1:40" ht="12.7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</row>
    <row r="665" spans="1:40" ht="12.7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</row>
    <row r="666" spans="1:40" ht="12.7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</row>
    <row r="667" spans="1:40" ht="12.7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</row>
    <row r="668" spans="1:40" ht="12.7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</row>
    <row r="669" spans="1:40" ht="12.7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</row>
    <row r="670" spans="1:40" ht="12.7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</row>
    <row r="671" spans="1:40" ht="12.7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</row>
    <row r="672" spans="1:40" ht="12.7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</row>
    <row r="673" spans="1:40" ht="12.7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</row>
    <row r="674" spans="1:40" ht="12.7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</row>
    <row r="675" spans="1:40" ht="12.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</row>
    <row r="676" spans="1:40" ht="12.7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</row>
    <row r="677" spans="1:40" ht="12.7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</row>
    <row r="678" spans="1:40" ht="12.7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</row>
    <row r="679" spans="1:40" ht="12.7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</row>
    <row r="680" spans="1:40" ht="12.7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</row>
    <row r="681" spans="1:40" ht="12.7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</row>
    <row r="682" spans="1:40" ht="12.7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</row>
    <row r="683" spans="1:40" ht="12.7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</row>
    <row r="684" spans="1:40" ht="12.7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</row>
    <row r="685" spans="1:40" ht="12.7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</row>
    <row r="686" spans="1:40" ht="12.7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</row>
    <row r="687" spans="1:40" ht="12.7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</row>
    <row r="688" spans="1:40" ht="12.7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</row>
    <row r="689" spans="1:40" ht="12.7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</row>
    <row r="690" spans="1:40" ht="12.7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</row>
    <row r="691" spans="1:40" ht="12.7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</row>
    <row r="692" spans="1:40" ht="12.7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</row>
    <row r="693" spans="1:40" ht="12.7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</row>
    <row r="694" spans="1:40" ht="12.7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</row>
    <row r="695" spans="1:40" ht="12.7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</row>
    <row r="696" spans="1:40" ht="12.7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</row>
    <row r="697" spans="1:40" ht="12.7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</row>
    <row r="698" spans="1:40" ht="12.7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</row>
    <row r="699" spans="1:40" ht="12.7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</row>
    <row r="700" spans="1:40" ht="12.7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</row>
    <row r="701" spans="1:40" ht="12.7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</row>
    <row r="702" spans="1:40" ht="12.7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</row>
    <row r="703" spans="1:40" ht="12.7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</row>
    <row r="704" spans="1:40" ht="12.7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</row>
    <row r="705" spans="1:40" ht="12.7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</row>
    <row r="706" spans="1:40" ht="12.7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</row>
    <row r="707" spans="1:40" ht="12.7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</row>
    <row r="708" spans="1:40" ht="12.7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</row>
    <row r="709" spans="1:40" ht="12.7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</row>
    <row r="710" spans="1:40" ht="12.7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</row>
    <row r="711" spans="1:40" ht="12.7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</row>
    <row r="712" spans="1:40" ht="12.7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</row>
    <row r="713" spans="1:40" ht="12.7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</row>
    <row r="714" spans="1:40" ht="12.7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</row>
    <row r="715" spans="1:40" ht="12.7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</row>
    <row r="716" spans="1:40" ht="12.7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</row>
    <row r="717" spans="1:40" ht="12.7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</row>
    <row r="718" spans="1:40" ht="12.7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</row>
    <row r="719" spans="1:40" ht="12.7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</row>
    <row r="720" spans="1:40" ht="12.7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</row>
    <row r="721" spans="1:40" ht="12.7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</row>
    <row r="722" spans="1:40" ht="12.7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</row>
    <row r="723" spans="1:40" ht="12.7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</row>
    <row r="724" spans="1:40" ht="12.7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</row>
    <row r="725" spans="1:40" ht="12.7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</row>
    <row r="726" spans="1:40" ht="12.7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</row>
    <row r="727" spans="1:40" ht="12.7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</row>
    <row r="728" spans="1:40" ht="12.7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</row>
    <row r="729" spans="1:40" ht="12.7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</row>
    <row r="730" spans="1:40" ht="12.7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</row>
    <row r="731" spans="1:40" ht="12.7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</row>
    <row r="732" spans="1:40" ht="12.7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</row>
    <row r="733" spans="1:40" ht="12.7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</row>
    <row r="734" spans="1:40" ht="12.7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</row>
    <row r="735" spans="1:40" ht="12.7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</row>
    <row r="736" spans="1:40" ht="12.7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</row>
    <row r="737" spans="1:40" ht="12.7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</row>
    <row r="738" spans="1:40" ht="12.7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</row>
    <row r="739" spans="1:40" ht="12.7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</row>
    <row r="740" spans="1:40" ht="12.7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</row>
    <row r="741" spans="1:40" ht="12.7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</row>
    <row r="742" spans="1:40" ht="12.7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</row>
    <row r="743" spans="1:40" ht="12.7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</row>
    <row r="744" spans="1:40" ht="12.7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</row>
    <row r="745" spans="1:40" ht="12.7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</row>
    <row r="746" spans="1:40" ht="12.7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</row>
    <row r="747" spans="1:40" ht="12.7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</row>
    <row r="748" spans="1:40" ht="12.7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</row>
    <row r="749" spans="1:40" ht="12.7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</row>
    <row r="750" spans="1:40" ht="12.7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</row>
    <row r="751" spans="1:40" ht="12.7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</row>
    <row r="752" spans="1:40" ht="12.7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</row>
    <row r="753" spans="1:40" ht="12.7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</row>
    <row r="754" spans="1:40" ht="12.7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</row>
    <row r="755" spans="1:40" ht="12.7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</row>
    <row r="756" spans="1:40" ht="12.7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</row>
    <row r="757" spans="1:40" ht="12.7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</row>
    <row r="758" spans="1:40" ht="12.7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</row>
    <row r="759" spans="1:40" ht="12.7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</row>
    <row r="760" spans="1:40" ht="12.7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</row>
    <row r="761" spans="1:40" ht="12.7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</row>
    <row r="762" spans="1:40" ht="12.7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</row>
    <row r="763" spans="1:40" ht="12.7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</row>
    <row r="764" spans="1:40" ht="12.7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</row>
    <row r="765" spans="1:40" ht="12.7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</row>
    <row r="766" spans="1:40" ht="12.7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</row>
    <row r="767" spans="1:40" ht="12.7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</row>
    <row r="768" spans="1:40" ht="12.7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</row>
    <row r="769" spans="1:40" ht="12.7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</row>
    <row r="770" spans="1:40" ht="12.7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</row>
    <row r="771" spans="1:40" ht="12.7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</row>
    <row r="772" spans="1:40" ht="12.7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</row>
    <row r="773" spans="1:40" ht="12.7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</row>
    <row r="774" spans="1:40" ht="12.7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</row>
    <row r="775" spans="1:40" ht="12.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</row>
    <row r="776" spans="1:40" ht="12.7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</row>
    <row r="777" spans="1:40" ht="12.7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</row>
    <row r="778" spans="1:40" ht="12.7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</row>
    <row r="779" spans="1:40" ht="12.7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</row>
    <row r="780" spans="1:40" ht="12.7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</row>
    <row r="781" spans="1:40" ht="12.7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</row>
    <row r="782" spans="1:40" ht="12.7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</row>
    <row r="783" spans="1:40" ht="12.7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</row>
    <row r="784" spans="1:40" ht="12.7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</row>
    <row r="785" spans="1:40" ht="12.7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</row>
    <row r="786" spans="1:40" ht="12.7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</row>
    <row r="787" spans="1:40" ht="12.7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</row>
    <row r="788" spans="1:40" ht="12.7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</row>
    <row r="789" spans="1:40" ht="12.7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</row>
    <row r="790" spans="1:40" ht="12.7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</row>
    <row r="791" spans="1:40" ht="12.7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</row>
    <row r="792" spans="1:40" ht="12.7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</row>
    <row r="793" spans="1:40" ht="12.7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</row>
    <row r="794" spans="1:40" ht="12.7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</row>
    <row r="795" spans="1:40" ht="12.7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</row>
    <row r="796" spans="1:40" ht="12.7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</row>
    <row r="797" spans="1:40" ht="12.7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</row>
    <row r="798" spans="1:40" ht="12.7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</row>
    <row r="799" spans="1:40" ht="12.7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</row>
    <row r="800" spans="1:40" ht="12.7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</row>
    <row r="801" spans="1:40" ht="12.7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</row>
    <row r="802" spans="1:40" ht="12.7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</row>
    <row r="803" spans="1:40" ht="12.7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</row>
    <row r="804" spans="1:40" ht="12.7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</row>
    <row r="805" spans="1:40" ht="12.7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</row>
    <row r="806" spans="1:40" ht="12.7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</row>
    <row r="807" spans="1:40" ht="12.7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</row>
    <row r="808" spans="1:40" ht="12.7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</row>
    <row r="809" spans="1:40" ht="12.7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</row>
    <row r="810" spans="1:40" ht="12.7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</row>
    <row r="811" spans="1:40" ht="12.7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</row>
    <row r="812" spans="1:40" ht="12.7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</row>
    <row r="813" spans="1:40" ht="12.7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</row>
    <row r="814" spans="1:40" ht="12.7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</row>
    <row r="815" spans="1:40" ht="12.7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</row>
    <row r="816" spans="1:40" ht="12.7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</row>
    <row r="817" spans="1:40" ht="12.7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</row>
    <row r="818" spans="1:40" ht="12.7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</row>
    <row r="819" spans="1:40" ht="12.7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</row>
    <row r="820" spans="1:40" ht="12.7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</row>
    <row r="821" spans="1:40" ht="12.7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</row>
    <row r="822" spans="1:40" ht="12.7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</row>
    <row r="823" spans="1:40" ht="12.7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</row>
    <row r="824" spans="1:40" ht="12.7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</row>
    <row r="825" spans="1:40" ht="12.7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</row>
    <row r="826" spans="1:40" ht="12.7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</row>
    <row r="827" spans="1:40" ht="12.7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</row>
    <row r="828" spans="1:40" ht="12.7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</row>
    <row r="829" spans="1:40" ht="12.7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</row>
    <row r="830" spans="1:40" ht="12.7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</row>
    <row r="831" spans="1:40" ht="12.7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</row>
    <row r="832" spans="1:40" ht="12.7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</row>
    <row r="833" spans="1:40" ht="12.7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</row>
    <row r="834" spans="1:40" ht="12.7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</row>
    <row r="835" spans="1:40" ht="12.7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</row>
    <row r="836" spans="1:40" ht="12.7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</row>
    <row r="837" spans="1:40" ht="12.7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</row>
    <row r="838" spans="1:40" ht="12.7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</row>
    <row r="839" spans="1:40" ht="12.7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</row>
    <row r="840" spans="1:40" ht="12.7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</row>
    <row r="841" spans="1:40" ht="12.7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</row>
    <row r="842" spans="1:40" ht="12.7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</row>
    <row r="843" spans="1:40" ht="12.7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</row>
    <row r="844" spans="1:40" ht="12.7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</row>
    <row r="845" spans="1:40" ht="12.7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</row>
    <row r="846" spans="1:40" ht="12.7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</row>
    <row r="847" spans="1:40" ht="12.7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</row>
    <row r="848" spans="1:40" ht="12.7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</row>
    <row r="849" spans="1:40" ht="12.7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</row>
    <row r="850" spans="1:40" ht="12.7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</row>
    <row r="851" spans="1:40" ht="12.7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</row>
    <row r="852" spans="1:40" ht="12.7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</row>
    <row r="853" spans="1:40" ht="12.7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</row>
    <row r="854" spans="1:40" ht="12.7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</row>
    <row r="855" spans="1:40" ht="12.7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</row>
    <row r="856" spans="1:40" ht="12.7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</row>
    <row r="857" spans="1:40" ht="12.7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</row>
    <row r="858" spans="1:40" ht="12.7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</row>
    <row r="859" spans="1:40" ht="12.7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</row>
    <row r="860" spans="1:40" ht="12.7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</row>
    <row r="861" spans="1:40" ht="12.7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</row>
    <row r="862" spans="1:40" ht="12.7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</row>
    <row r="863" spans="1:40" ht="12.7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</row>
    <row r="864" spans="1:40" ht="12.7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</row>
    <row r="865" spans="1:40" ht="12.7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</row>
    <row r="866" spans="1:40" ht="12.7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</row>
    <row r="867" spans="1:40" ht="12.7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</row>
    <row r="868" spans="1:40" ht="12.7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</row>
    <row r="869" spans="1:40" ht="12.7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</row>
    <row r="870" spans="1:40" ht="12.7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</row>
    <row r="871" spans="1:40" ht="12.7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</row>
    <row r="872" spans="1:40" ht="12.7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</row>
    <row r="873" spans="1:40" ht="12.7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</row>
    <row r="874" spans="1:40" ht="12.7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</row>
    <row r="875" spans="1:40" ht="12.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</row>
    <row r="876" spans="1:40" ht="12.7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</row>
    <row r="877" spans="1:40" ht="12.7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</row>
    <row r="878" spans="1:40" ht="12.7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</row>
    <row r="879" spans="1:40" ht="12.7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</row>
    <row r="880" spans="1:40" ht="12.7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</row>
    <row r="881" spans="1:40" ht="12.7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</row>
    <row r="882" spans="1:40" ht="12.7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</row>
    <row r="883" spans="1:40" ht="12.7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</row>
    <row r="884" spans="1:40" ht="12.7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</row>
    <row r="885" spans="1:40" ht="12.7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</row>
    <row r="886" spans="1:40" ht="12.7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</row>
    <row r="887" spans="1:40" ht="12.7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</row>
    <row r="888" spans="1:40" ht="12.7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</row>
    <row r="889" spans="1:40" ht="12.7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</row>
    <row r="890" spans="1:40" ht="12.7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</row>
    <row r="891" spans="1:40" ht="12.7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</row>
    <row r="892" spans="1:40" ht="12.7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</row>
    <row r="893" spans="1:40" ht="12.7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</row>
    <row r="894" spans="1:40" ht="12.7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</row>
    <row r="895" spans="1:40" ht="12.7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</row>
    <row r="896" spans="1:40" ht="12.7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</row>
    <row r="897" spans="1:40" ht="12.7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</row>
    <row r="898" spans="1:40" ht="12.7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</row>
    <row r="899" spans="1:40" ht="12.7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</row>
    <row r="900" spans="1:40" ht="12.7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</row>
    <row r="901" spans="1:40" ht="12.7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</row>
    <row r="902" spans="1:40" ht="12.7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</row>
    <row r="903" spans="1:40" ht="12.7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</row>
    <row r="904" spans="1:40" ht="12.7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</row>
    <row r="905" spans="1:40" ht="12.7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</row>
    <row r="906" spans="1:40" ht="12.7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</row>
    <row r="907" spans="1:40" ht="12.7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</row>
    <row r="908" spans="1:40" ht="12.7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</row>
    <row r="909" spans="1:40" ht="12.7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</row>
    <row r="910" spans="1:40" ht="12.7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</row>
    <row r="911" spans="1:40" ht="12.7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</row>
    <row r="912" spans="1:40" ht="12.7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</row>
    <row r="913" spans="1:40" ht="12.7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</row>
    <row r="914" spans="1:40" ht="12.7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</row>
    <row r="915" spans="1:40" ht="12.7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</row>
    <row r="916" spans="1:40" ht="12.7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</row>
    <row r="917" spans="1:40" ht="12.7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</row>
    <row r="918" spans="1:40" ht="12.7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</row>
    <row r="919" spans="1:40" ht="12.7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</row>
    <row r="920" spans="1:40" ht="12.7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</row>
    <row r="921" spans="1:40" ht="12.7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</row>
    <row r="922" spans="1:40" ht="12.7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</row>
    <row r="923" spans="1:40" ht="12.7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</row>
    <row r="924" spans="1:40" ht="12.7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</row>
    <row r="925" spans="1:40" ht="12.7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</row>
    <row r="926" spans="1:40" ht="12.7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</row>
    <row r="927" spans="1:40" ht="12.7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</row>
    <row r="928" spans="1:40" ht="12.7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</row>
    <row r="929" spans="1:40" ht="12.7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</row>
    <row r="930" spans="1:40" ht="12.7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</row>
    <row r="931" spans="1:40" ht="12.7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</row>
    <row r="932" spans="1:40" ht="12.7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</row>
    <row r="933" spans="1:40" ht="12.7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</row>
    <row r="934" spans="1:40" ht="12.7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</row>
    <row r="935" spans="1:40" ht="12.7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</row>
    <row r="936" spans="1:40" ht="12.7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</row>
    <row r="937" spans="1:40" ht="12.7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</row>
    <row r="938" spans="1:40" ht="12.7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</row>
    <row r="939" spans="1:40" ht="12.7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</row>
    <row r="940" spans="1:40" ht="12.7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</row>
    <row r="941" spans="1:40" ht="12.7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</row>
    <row r="942" spans="1:40" ht="12.7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</row>
    <row r="943" spans="1:40" ht="12.7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</row>
    <row r="944" spans="1:40" ht="12.7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</row>
    <row r="945" spans="1:40" ht="12.7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</row>
    <row r="946" spans="1:40" ht="12.7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</row>
    <row r="947" spans="1:40" ht="12.7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</row>
    <row r="948" spans="1:40" ht="12.7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</row>
    <row r="949" spans="1:40" ht="12.7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</row>
    <row r="950" spans="1:40" ht="12.7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</row>
    <row r="951" spans="1:40" ht="12.7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</row>
    <row r="952" spans="1:40" ht="12.7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</row>
    <row r="953" spans="1:40" ht="12.7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</row>
    <row r="954" spans="1:40" ht="12.7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</row>
    <row r="955" spans="1:40" ht="12.7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</row>
    <row r="956" spans="1:40" ht="12.7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</row>
    <row r="957" spans="1:40" ht="12.7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</row>
    <row r="958" spans="1:40" ht="12.7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</row>
    <row r="959" spans="1:40" ht="12.7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</row>
    <row r="960" spans="1:40" ht="12.7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</row>
    <row r="961" spans="1:40" ht="12.7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</row>
    <row r="962" spans="1:40" ht="12.7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</row>
    <row r="963" spans="1:40" ht="12.7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</row>
    <row r="964" spans="1:40" ht="12.7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</row>
    <row r="965" spans="1:40" ht="12.7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</row>
    <row r="966" spans="1:40" ht="12.7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</row>
    <row r="967" spans="1:40" ht="12.7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</row>
    <row r="968" spans="1:40" ht="12.7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</row>
    <row r="969" spans="1:40" ht="12.7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</row>
    <row r="970" spans="1:40" ht="12.7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</row>
    <row r="971" spans="1:40" ht="12.7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</row>
    <row r="972" spans="1:40" ht="12.7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</row>
    <row r="973" spans="1:40" ht="12.7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</row>
    <row r="974" spans="1:40" ht="12.7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</row>
    <row r="975" spans="1:40" ht="12.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</row>
    <row r="976" spans="1:40" ht="12.7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</row>
    <row r="977" spans="1:40" ht="12.7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</row>
    <row r="978" spans="1:40" ht="12.7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</row>
    <row r="979" spans="1:40" ht="12.7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</row>
    <row r="980" spans="1:40" ht="12.7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</row>
    <row r="981" spans="1:40" ht="12.7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</row>
    <row r="982" spans="1:40" ht="12.7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</row>
    <row r="983" spans="1:40" ht="12.7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</row>
    <row r="984" spans="1:40" ht="12.7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</row>
    <row r="985" spans="1:40" ht="12.7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</row>
    <row r="986" spans="1:40" ht="12.7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</row>
    <row r="987" spans="1:40" ht="12.7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</row>
    <row r="988" spans="1:40" ht="12.7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</row>
    <row r="989" spans="1:40" ht="12.7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</row>
    <row r="990" spans="1:40" ht="12.7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</row>
    <row r="991" spans="1:40" ht="12.7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</row>
    <row r="992" spans="1:40" ht="12.7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</row>
    <row r="993" spans="1:40" ht="12.7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</row>
    <row r="994" spans="1:40" ht="12.7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</row>
    <row r="995" spans="1:40" ht="12.7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</row>
    <row r="996" spans="1:40" ht="12.7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</row>
    <row r="997" spans="1:40" ht="12.7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</row>
    <row r="998" spans="1:40" ht="12.7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</row>
    <row r="999" spans="1:40" ht="12.7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</row>
    <row r="1000" spans="1:40" ht="12.7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</row>
    <row r="1001" spans="1:40" ht="12.7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</row>
    <row r="1002" spans="1:40" ht="12.7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</row>
    <row r="1003" spans="1:40" ht="12.7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</row>
    <row r="1004" spans="1:40" ht="12.7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</row>
    <row r="1005" spans="1:40" ht="12.7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</row>
    <row r="1006" spans="1:40" ht="12.7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</row>
    <row r="1007" spans="1:40" ht="12.7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</row>
    <row r="1008" spans="1:40" ht="12.7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</row>
    <row r="1009" spans="1:40" ht="12.7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</row>
    <row r="1010" spans="1:40" ht="12.7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</row>
    <row r="1011" spans="1:40" ht="12.7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</row>
    <row r="1012" spans="1:40" ht="12.7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</row>
    <row r="1013" spans="1:40" ht="12.7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</row>
    <row r="1014" spans="1:40" ht="12.7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</row>
    <row r="1015" spans="1:40" ht="12.7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</row>
    <row r="1016" spans="1:40" ht="12.7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</row>
    <row r="1017" spans="1:40" ht="12.7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</row>
    <row r="1018" spans="1:40" ht="12.7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</row>
    <row r="1019" spans="1:40" ht="12.7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</row>
    <row r="1020" spans="1:40" ht="12.7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</row>
    <row r="1021" spans="1:40" ht="12.7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</row>
    <row r="1022" spans="1:40" ht="12.7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</row>
    <row r="1023" spans="1:40" ht="12.7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</row>
    <row r="1024" spans="1:40" ht="12.7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</row>
    <row r="1025" spans="1:40" ht="12.7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</row>
    <row r="1026" spans="1:40" ht="12.75"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</row>
    <row r="1027" spans="1:40" ht="12.75"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</row>
  </sheetData>
  <autoFilter ref="A1:A37" xr:uid="{00000000-0009-0000-0000-000000000000}"/>
  <customSheetViews>
    <customSheetView guid="{8F4ACF9E-E030-4868-93B2-D234B9835EAD}" filter="1" showAutoFilter="1">
      <pageMargins left="0.7" right="0.7" top="0.75" bottom="0.75" header="0.3" footer="0.3"/>
      <autoFilter ref="A1:R63" xr:uid="{C237C863-7241-452C-AEF5-F5C396636B59}"/>
    </customSheetView>
  </customSheetViews>
  <conditionalFormatting sqref="M2:M38 L35:L38">
    <cfRule type="cellIs" dxfId="4" priority="1" operator="greaterThan">
      <formula>0.0275</formula>
    </cfRule>
  </conditionalFormatting>
  <conditionalFormatting sqref="Q2:Q34">
    <cfRule type="cellIs" dxfId="3" priority="2" operator="notBetween">
      <formula>0.3</formula>
      <formula>-0.3</formula>
    </cfRule>
  </conditionalFormatting>
  <dataValidations count="1">
    <dataValidation type="list" allowBlank="1" showErrorMessage="1" sqref="D43:D46 D49:D54" xr:uid="{00000000-0002-0000-0000-000000000000}">
      <formula1>"TMT,Consumer,Financial,Healthcare,IME"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8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2.59765625" defaultRowHeight="15.75" customHeight="1" outlineLevelRow="1" outlineLevelCol="1"/>
  <cols>
    <col min="1" max="1" width="9.265625" customWidth="1"/>
    <col min="2" max="2" width="12.46484375" customWidth="1"/>
    <col min="3" max="3" width="23.73046875" customWidth="1"/>
    <col min="4" max="4" width="9.265625" customWidth="1"/>
    <col min="6" max="6" width="13.59765625" customWidth="1"/>
    <col min="7" max="7" width="12.3984375" customWidth="1"/>
    <col min="8" max="9" width="15.1328125" customWidth="1"/>
    <col min="10" max="10" width="16.1328125" customWidth="1"/>
    <col min="11" max="11" width="13.59765625" customWidth="1"/>
    <col min="12" max="12" width="16.1328125" customWidth="1"/>
    <col min="13" max="13" width="16.1328125" customWidth="1" collapsed="1"/>
    <col min="14" max="16" width="20.1328125" hidden="1" customWidth="1" outlineLevel="1"/>
    <col min="17" max="17" width="20.1328125" customWidth="1"/>
    <col min="18" max="18" width="13.73046875" customWidth="1"/>
    <col min="20" max="21" width="13.59765625" customWidth="1"/>
    <col min="22" max="22" width="14.1328125" customWidth="1"/>
  </cols>
  <sheetData>
    <row r="1" spans="1:23" ht="12.75">
      <c r="A1" s="1" t="s">
        <v>71</v>
      </c>
      <c r="B1" s="2" t="s">
        <v>0</v>
      </c>
      <c r="C1" s="2" t="s">
        <v>1</v>
      </c>
      <c r="D1" s="2" t="s">
        <v>2</v>
      </c>
      <c r="E1" s="2" t="s">
        <v>3</v>
      </c>
      <c r="F1" s="127" t="s">
        <v>4</v>
      </c>
      <c r="G1" s="2" t="s">
        <v>5</v>
      </c>
      <c r="H1" s="127" t="s">
        <v>6</v>
      </c>
      <c r="I1" s="2" t="s">
        <v>7</v>
      </c>
      <c r="J1" s="2" t="s">
        <v>8</v>
      </c>
      <c r="K1" s="3" t="s">
        <v>9</v>
      </c>
      <c r="L1" s="3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90" t="s">
        <v>16</v>
      </c>
      <c r="S1" s="90" t="s">
        <v>17</v>
      </c>
      <c r="T1" s="28"/>
    </row>
    <row r="2" spans="1:23" ht="12.75">
      <c r="A2" s="128" t="s">
        <v>30</v>
      </c>
      <c r="B2" s="20" t="str">
        <f ca="1">IFERROR(__xludf.DUMMYFUNCTION("IF(GOOGLEFINANCE(D2,""marketcap"")/1000000&gt;10000,""Large Cap"",IF(GOOGLEFINANCE(D2,""marketcap"")/1000000&gt;2000,""Mid Cap"",""Small Cap""))"),"Large Cap")</f>
        <v>Large Cap</v>
      </c>
      <c r="C2" s="63" t="str">
        <f ca="1">IFERROR(__xludf.DUMMYFUNCTION("GOOGLEFINANCE(D2,""Name"")"),"Argan Inc")</f>
        <v>Argan Inc</v>
      </c>
      <c r="D2" s="129" t="s">
        <v>118</v>
      </c>
      <c r="E2" s="130">
        <v>46.7</v>
      </c>
      <c r="F2" s="22">
        <f ca="1">IFERROR(__xludf.DUMMYFUNCTION("GOOGLEFINANCE(D2,""price"")"),765.46)</f>
        <v>765.46</v>
      </c>
      <c r="G2" s="45">
        <f t="shared" ref="G2:G14" ca="1" si="0">F2*E2</f>
        <v>35746.982000000004</v>
      </c>
      <c r="H2" s="22">
        <v>49.49</v>
      </c>
      <c r="I2" s="26">
        <v>45359</v>
      </c>
      <c r="J2" s="131">
        <v>1.5E-3</v>
      </c>
      <c r="K2" s="131">
        <f t="shared" ref="K2:K14" ca="1" si="1">G2/$G$16</f>
        <v>0.22611520547371758</v>
      </c>
      <c r="L2" s="131">
        <f t="shared" ref="L2:L14" ca="1" si="2">G2/($G$15+$G$16)</f>
        <v>8.0751558310006993E-2</v>
      </c>
      <c r="M2" s="131">
        <f t="shared" ref="M2:M14" ca="1" si="3">L2-J2</f>
        <v>7.9251558310006992E-2</v>
      </c>
      <c r="N2" s="22">
        <v>206.83</v>
      </c>
      <c r="O2" s="15">
        <f t="shared" ref="O2:O14" ca="1" si="4">$F$15/N2-1</f>
        <v>0.44964463569114721</v>
      </c>
      <c r="P2" s="15">
        <f t="shared" ref="P2:P14" ca="1" si="5">F2/H2-1</f>
        <v>14.466963022832896</v>
      </c>
      <c r="Q2" s="15">
        <f t="shared" ref="Q2:Q14" ca="1" si="6">P2-O2</f>
        <v>14.017318387141749</v>
      </c>
      <c r="R2" s="33"/>
      <c r="S2" s="37">
        <f t="shared" ref="S2:S14" ca="1" si="7">TODAY()-I2</f>
        <v>840</v>
      </c>
      <c r="T2" s="37"/>
      <c r="U2" s="5"/>
      <c r="W2" s="36"/>
    </row>
    <row r="3" spans="1:23" ht="12.75">
      <c r="A3" s="128" t="s">
        <v>27</v>
      </c>
      <c r="B3" s="20" t="str">
        <f ca="1">IFERROR(__xludf.DUMMYFUNCTION("IF(GOOGLEFINANCE(D3,""marketcap"")/1000000&gt;10000,""Large Cap"",IF(GOOGLEFINANCE(D3,""marketcap"")/1000000&gt;2000,""Mid Cap"",""Small Cap""))"),"Mid Cap")</f>
        <v>Mid Cap</v>
      </c>
      <c r="C3" s="63" t="str">
        <f ca="1">IFERROR(__xludf.DUMMYFUNCTION("GOOGLEFINANCE(D3,""Name"")"),"Axos Financial Inc")</f>
        <v>Axos Financial Inc</v>
      </c>
      <c r="D3" s="129" t="s">
        <v>119</v>
      </c>
      <c r="E3" s="130">
        <v>166</v>
      </c>
      <c r="F3" s="22">
        <f ca="1">IFERROR(__xludf.DUMMYFUNCTION("GOOGLEFINANCE(D3,""price"")"),96.23)</f>
        <v>96.23</v>
      </c>
      <c r="G3" s="45">
        <f t="shared" ca="1" si="0"/>
        <v>15974.18</v>
      </c>
      <c r="H3" s="22">
        <v>41.58</v>
      </c>
      <c r="I3" s="26">
        <v>44946</v>
      </c>
      <c r="J3" s="131">
        <v>1.6999999999999999E-3</v>
      </c>
      <c r="K3" s="131">
        <f t="shared" ca="1" si="1"/>
        <v>0.1010436347598281</v>
      </c>
      <c r="L3" s="131">
        <f t="shared" ca="1" si="2"/>
        <v>3.6085282044916331E-2</v>
      </c>
      <c r="M3" s="131">
        <f t="shared" ca="1" si="3"/>
        <v>3.4385282044916331E-2</v>
      </c>
      <c r="N3" s="22">
        <v>185.04</v>
      </c>
      <c r="O3" s="15">
        <f t="shared" ca="1" si="4"/>
        <v>0.6203523562472979</v>
      </c>
      <c r="P3" s="15">
        <f t="shared" ca="1" si="5"/>
        <v>1.3143338143338146</v>
      </c>
      <c r="Q3" s="15">
        <f t="shared" ca="1" si="6"/>
        <v>0.69398145808651668</v>
      </c>
      <c r="R3" s="132" t="s">
        <v>120</v>
      </c>
      <c r="S3" s="133">
        <f t="shared" ca="1" si="7"/>
        <v>1253</v>
      </c>
      <c r="T3" s="37"/>
      <c r="U3" s="5"/>
      <c r="W3" s="36"/>
    </row>
    <row r="4" spans="1:23" ht="12.75">
      <c r="A4" s="128" t="s">
        <v>30</v>
      </c>
      <c r="B4" s="20" t="str">
        <f ca="1">IFERROR(__xludf.DUMMYFUNCTION("IF(GOOGLEFINANCE(D4,""marketcap"")/1000000&gt;10000,""Large Cap"",IF(GOOGLEFINANCE(D4,""marketcap"")/1000000&gt;2000,""Mid Cap"",""Small Cap""))"),"Mid Cap")</f>
        <v>Mid Cap</v>
      </c>
      <c r="C4" s="63" t="str">
        <f ca="1">IFERROR(__xludf.DUMMYFUNCTION("GOOGLEFINANCE(D4,""Name"")"),"Blue Bird Corp")</f>
        <v>Blue Bird Corp</v>
      </c>
      <c r="D4" s="129" t="s">
        <v>121</v>
      </c>
      <c r="E4" s="130">
        <v>316</v>
      </c>
      <c r="F4" s="22">
        <f ca="1">IFERROR(__xludf.DUMMYFUNCTION("GOOGLEFINANCE(D4,""price"")"),78.81)</f>
        <v>78.81</v>
      </c>
      <c r="G4" s="45">
        <f t="shared" ca="1" si="0"/>
        <v>24903.96</v>
      </c>
      <c r="H4" s="22">
        <v>20.59</v>
      </c>
      <c r="I4" s="26">
        <v>45204</v>
      </c>
      <c r="J4" s="131">
        <v>5.0000000000000001E-4</v>
      </c>
      <c r="K4" s="131">
        <f t="shared" ca="1" si="1"/>
        <v>0.15752837631185879</v>
      </c>
      <c r="L4" s="131">
        <f t="shared" ca="1" si="2"/>
        <v>5.6257436728227334E-2</v>
      </c>
      <c r="M4" s="131">
        <f t="shared" ca="1" si="3"/>
        <v>5.5757436728227333E-2</v>
      </c>
      <c r="N4" s="22">
        <v>171.35</v>
      </c>
      <c r="O4" s="15">
        <f t="shared" ca="1" si="4"/>
        <v>0.7498103297344616</v>
      </c>
      <c r="P4" s="15">
        <f t="shared" ca="1" si="5"/>
        <v>2.827586206896552</v>
      </c>
      <c r="Q4" s="15">
        <f t="shared" ca="1" si="6"/>
        <v>2.0777758771620904</v>
      </c>
      <c r="R4" s="134"/>
      <c r="S4" s="37">
        <f t="shared" ca="1" si="7"/>
        <v>995</v>
      </c>
      <c r="T4" s="37"/>
      <c r="U4" s="5"/>
      <c r="W4" s="36"/>
    </row>
    <row r="5" spans="1:23" ht="12.75">
      <c r="A5" s="128" t="s">
        <v>34</v>
      </c>
      <c r="B5" s="20" t="str">
        <f ca="1">IFERROR(__xludf.DUMMYFUNCTION("IF(GOOGLEFINANCE(D5,""marketcap"")/1000000&gt;10000,""Large Cap"",IF(GOOGLEFINANCE(D5,""marketcap"")/1000000&gt;2000,""Mid Cap"",""Small Cap""))"),"Mid Cap")</f>
        <v>Mid Cap</v>
      </c>
      <c r="C5" s="63" t="str">
        <f ca="1">IFERROR(__xludf.DUMMYFUNCTION("GOOGLEFINANCE(D5,""Name"")"),"Concentra Group Holdings Parent Inc")</f>
        <v>Concentra Group Holdings Parent Inc</v>
      </c>
      <c r="D5" s="81" t="s">
        <v>122</v>
      </c>
      <c r="E5" s="135">
        <v>45.5</v>
      </c>
      <c r="F5" s="22">
        <f ca="1">IFERROR(__xludf.DUMMYFUNCTION("GOOGLEFINANCE(D5,""price"")"),30.18)</f>
        <v>30.18</v>
      </c>
      <c r="G5" s="45">
        <f t="shared" ca="1" si="0"/>
        <v>1373.19</v>
      </c>
      <c r="H5" s="22">
        <v>20.59</v>
      </c>
      <c r="I5" s="26">
        <v>45572</v>
      </c>
      <c r="J5" s="131">
        <v>8.0000000000000004E-4</v>
      </c>
      <c r="K5" s="131">
        <f t="shared" ca="1" si="1"/>
        <v>8.6860238720139846E-3</v>
      </c>
      <c r="L5" s="131">
        <f t="shared" ca="1" si="2"/>
        <v>3.1020026349558262E-3</v>
      </c>
      <c r="M5" s="131">
        <f t="shared" ca="1" si="3"/>
        <v>2.3020026349558262E-3</v>
      </c>
      <c r="N5" s="22">
        <v>221.85</v>
      </c>
      <c r="O5" s="15">
        <f t="shared" ca="1" si="4"/>
        <v>0.35149876042370964</v>
      </c>
      <c r="P5" s="15">
        <f t="shared" ca="1" si="5"/>
        <v>0.46576007770762495</v>
      </c>
      <c r="Q5" s="15">
        <f t="shared" ca="1" si="6"/>
        <v>0.11426131728391531</v>
      </c>
      <c r="R5" s="33"/>
      <c r="S5" s="37">
        <f t="shared" ca="1" si="7"/>
        <v>627</v>
      </c>
      <c r="T5" s="37"/>
      <c r="U5" s="5"/>
      <c r="W5" s="36"/>
    </row>
    <row r="6" spans="1:23" ht="13.15">
      <c r="A6" s="136" t="s">
        <v>34</v>
      </c>
      <c r="B6" s="20" t="str">
        <f ca="1">IFERROR(__xludf.DUMMYFUNCTION("IF(GOOGLEFINANCE(D6,""marketcap"")/1000000&gt;10000,""Large Cap"",IF(GOOGLEFINANCE(D6,""marketcap"")/1000000&gt;2000,""Mid Cap"",""Small Cap""))"),"Mid Cap")</f>
        <v>Mid Cap</v>
      </c>
      <c r="C6" s="63" t="str">
        <f ca="1">IFERROR(__xludf.DUMMYFUNCTION("GOOGLEFINANCE(D6,""Name"")"),"Catalyst Pharmaceuticals Inc")</f>
        <v>Catalyst Pharmaceuticals Inc</v>
      </c>
      <c r="D6" s="81" t="s">
        <v>123</v>
      </c>
      <c r="E6" s="135">
        <v>550</v>
      </c>
      <c r="F6" s="22">
        <f ca="1">IFERROR(__xludf.DUMMYFUNCTION("GOOGLEFINANCE(D6,""price"")"),31.5)</f>
        <v>31.5</v>
      </c>
      <c r="G6" s="45">
        <f t="shared" ca="1" si="0"/>
        <v>17325</v>
      </c>
      <c r="H6" s="22">
        <v>12.99</v>
      </c>
      <c r="I6" s="26">
        <v>45236</v>
      </c>
      <c r="J6" s="131">
        <v>8.9999999999999998E-4</v>
      </c>
      <c r="K6" s="131">
        <f t="shared" ca="1" si="1"/>
        <v>0.10958815865440491</v>
      </c>
      <c r="L6" s="131">
        <f t="shared" ca="1" si="2"/>
        <v>3.9136751396827596E-2</v>
      </c>
      <c r="M6" s="131">
        <f t="shared" ca="1" si="3"/>
        <v>3.8236751396827598E-2</v>
      </c>
      <c r="N6" s="22">
        <v>172.31</v>
      </c>
      <c r="O6" s="15">
        <f t="shared" ca="1" si="4"/>
        <v>0.74006151703325385</v>
      </c>
      <c r="P6" s="15">
        <f t="shared" ca="1" si="5"/>
        <v>1.4249422632794455</v>
      </c>
      <c r="Q6" s="15">
        <f t="shared" ca="1" si="6"/>
        <v>0.68488074624619166</v>
      </c>
      <c r="R6" s="33" t="s">
        <v>38</v>
      </c>
      <c r="S6" s="133">
        <f t="shared" ca="1" si="7"/>
        <v>963</v>
      </c>
      <c r="T6" s="37"/>
      <c r="U6" s="5"/>
      <c r="W6" s="36"/>
    </row>
    <row r="7" spans="1:23" ht="12.75">
      <c r="A7" s="128" t="s">
        <v>27</v>
      </c>
      <c r="B7" s="20" t="str">
        <f ca="1">IFERROR(__xludf.DUMMYFUNCTION("IF(GOOGLEFINANCE(D7,""marketcap"")/1000000&gt;10000,""Large Cap"",IF(GOOGLEFINANCE(D7,""marketcap"")/1000000&gt;2000,""Mid Cap"",""Small Cap""))"),"Mid Cap")</f>
        <v>Mid Cap</v>
      </c>
      <c r="C7" s="63" t="str">
        <f ca="1">IFERROR(__xludf.DUMMYFUNCTION("GOOGLEFINANCE(D7,""Name"")"),"Caretrust REIT Inc")</f>
        <v>Caretrust REIT Inc</v>
      </c>
      <c r="D7" s="129" t="s">
        <v>124</v>
      </c>
      <c r="E7" s="130">
        <v>393.5</v>
      </c>
      <c r="F7" s="22">
        <f ca="1">IFERROR(__xludf.DUMMYFUNCTION("GOOGLEFINANCE(D7,""price"")"),40.83)</f>
        <v>40.83</v>
      </c>
      <c r="G7" s="45">
        <f t="shared" ca="1" si="0"/>
        <v>16066.605</v>
      </c>
      <c r="H7" s="22">
        <v>28.64</v>
      </c>
      <c r="I7" s="26">
        <v>45790</v>
      </c>
      <c r="J7" s="131">
        <v>2.7000000000000001E-3</v>
      </c>
      <c r="K7" s="131">
        <f t="shared" ca="1" si="1"/>
        <v>0.10162826307518934</v>
      </c>
      <c r="L7" s="131">
        <f t="shared" ca="1" si="2"/>
        <v>3.6294067860088153E-2</v>
      </c>
      <c r="M7" s="131">
        <f t="shared" ca="1" si="3"/>
        <v>3.3594067860088152E-2</v>
      </c>
      <c r="N7" s="22">
        <v>208.63</v>
      </c>
      <c r="O7" s="137">
        <f t="shared" ca="1" si="4"/>
        <v>0.43713751617696395</v>
      </c>
      <c r="P7" s="137">
        <f t="shared" ca="1" si="5"/>
        <v>0.42562849162011163</v>
      </c>
      <c r="Q7" s="137">
        <f t="shared" ca="1" si="6"/>
        <v>-1.1509024556852321E-2</v>
      </c>
      <c r="R7" s="33"/>
      <c r="S7" s="37">
        <f t="shared" ca="1" si="7"/>
        <v>409</v>
      </c>
      <c r="T7" s="37"/>
      <c r="U7" s="5"/>
      <c r="W7" s="36"/>
    </row>
    <row r="8" spans="1:23" ht="12.75">
      <c r="A8" s="128" t="s">
        <v>27</v>
      </c>
      <c r="B8" s="20" t="str">
        <f ca="1">IFERROR(__xludf.DUMMYFUNCTION("IF(GOOGLEFINANCE(D8,""marketcap"")/1000000&gt;10000,""Large Cap"",IF(GOOGLEFINANCE(D8,""marketcap"")/1000000&gt;2000,""Mid Cap"",""Small Cap""))"),"Small Cap")</f>
        <v>Small Cap</v>
      </c>
      <c r="C8" s="63" t="str">
        <f ca="1">IFERROR(__xludf.DUMMYFUNCTION("GOOGLEFINANCE(D8,""Name"")"),"Forestar Group Inc")</f>
        <v>Forestar Group Inc</v>
      </c>
      <c r="D8" s="129" t="s">
        <v>125</v>
      </c>
      <c r="E8" s="130">
        <v>100</v>
      </c>
      <c r="F8" s="22">
        <f ca="1">IFERROR(__xludf.DUMMYFUNCTION("GOOGLEFINANCE(D8,""price"")"),31.94)</f>
        <v>31.94</v>
      </c>
      <c r="G8" s="45">
        <f t="shared" ca="1" si="0"/>
        <v>3194</v>
      </c>
      <c r="H8" s="22">
        <v>29.23</v>
      </c>
      <c r="I8" s="26">
        <v>45611</v>
      </c>
      <c r="J8" s="131">
        <v>2.0000000000000001E-4</v>
      </c>
      <c r="K8" s="131">
        <f t="shared" ca="1" si="1"/>
        <v>2.0203438888436901E-2</v>
      </c>
      <c r="L8" s="131">
        <f t="shared" ca="1" si="2"/>
        <v>7.2151679054237999E-3</v>
      </c>
      <c r="M8" s="131">
        <f t="shared" ca="1" si="3"/>
        <v>7.0151679054238003E-3</v>
      </c>
      <c r="N8" s="22">
        <v>234.05</v>
      </c>
      <c r="O8" s="15">
        <f t="shared" ca="1" si="4"/>
        <v>0.28105105746635317</v>
      </c>
      <c r="P8" s="15">
        <f t="shared" ca="1" si="5"/>
        <v>9.271296613068758E-2</v>
      </c>
      <c r="Q8" s="15">
        <f t="shared" ca="1" si="6"/>
        <v>-0.18833809133566559</v>
      </c>
      <c r="R8" s="33"/>
      <c r="S8" s="37">
        <f t="shared" ca="1" si="7"/>
        <v>588</v>
      </c>
      <c r="T8" s="37"/>
      <c r="U8" s="5"/>
      <c r="W8" s="36"/>
    </row>
    <row r="9" spans="1:23" ht="12.75">
      <c r="A9" s="128" t="s">
        <v>30</v>
      </c>
      <c r="B9" s="20" t="str">
        <f ca="1">IFERROR(__xludf.DUMMYFUNCTION("IF(GOOGLEFINANCE(D9,""marketcap"")/1000000&gt;10000,""Large Cap"",IF(GOOGLEFINANCE(D9,""marketcap"")/1000000&gt;2000,""Mid Cap"",""Small Cap""))"),"Mid Cap")</f>
        <v>Mid Cap</v>
      </c>
      <c r="C9" s="63" t="str">
        <f ca="1">IFERROR(__xludf.DUMMYFUNCTION("GOOGLEFINANCE(D9,""Name"")"),"Centrus Energy Corp")</f>
        <v>Centrus Energy Corp</v>
      </c>
      <c r="D9" s="129" t="s">
        <v>126</v>
      </c>
      <c r="E9" s="130">
        <v>45</v>
      </c>
      <c r="F9" s="22">
        <f ca="1">IFERROR(__xludf.DUMMYFUNCTION("GOOGLEFINANCE(D9,""price"")"),165.52)</f>
        <v>165.52</v>
      </c>
      <c r="G9" s="45">
        <f t="shared" ca="1" si="0"/>
        <v>7448.4000000000005</v>
      </c>
      <c r="H9" s="22">
        <v>38.25</v>
      </c>
      <c r="I9" s="26">
        <v>45366</v>
      </c>
      <c r="J9" s="131">
        <v>1.5E-3</v>
      </c>
      <c r="K9" s="131">
        <f t="shared" ca="1" si="1"/>
        <v>4.7114368884356106E-2</v>
      </c>
      <c r="L9" s="131">
        <f t="shared" ca="1" si="2"/>
        <v>1.6825753483643905E-2</v>
      </c>
      <c r="M9" s="131">
        <f t="shared" ca="1" si="3"/>
        <v>1.5325753483643905E-2</v>
      </c>
      <c r="N9" s="22">
        <v>202.45</v>
      </c>
      <c r="O9" s="15">
        <f t="shared" ca="1" si="4"/>
        <v>0.48100765621141028</v>
      </c>
      <c r="P9" s="15">
        <f t="shared" ca="1" si="5"/>
        <v>3.3273202614379089</v>
      </c>
      <c r="Q9" s="15">
        <f t="shared" ca="1" si="6"/>
        <v>2.8463126052264984</v>
      </c>
      <c r="R9" s="33"/>
      <c r="S9" s="37">
        <f t="shared" ca="1" si="7"/>
        <v>833</v>
      </c>
      <c r="T9" s="37"/>
      <c r="U9" s="5"/>
      <c r="W9" s="36"/>
    </row>
    <row r="10" spans="1:23" ht="12.75">
      <c r="A10" s="128" t="s">
        <v>34</v>
      </c>
      <c r="B10" s="20" t="str">
        <f ca="1">IFERROR(__xludf.DUMMYFUNCTION("IF(GOOGLEFINANCE(D10,""marketcap"")/1000000&gt;10000,""Large Cap"",IF(GOOGLEFINANCE(D10,""marketcap"")/1000000&gt;2000,""Mid Cap"",""Small Cap""))"),"Small Cap")</f>
        <v>Small Cap</v>
      </c>
      <c r="C10" s="63" t="s">
        <v>127</v>
      </c>
      <c r="D10" s="129" t="s">
        <v>128</v>
      </c>
      <c r="E10" s="130">
        <v>303</v>
      </c>
      <c r="F10" s="22">
        <f ca="1">IFERROR(__xludf.DUMMYFUNCTION("GOOGLEFINANCE(D10,""price"")"),40.13)</f>
        <v>40.130000000000003</v>
      </c>
      <c r="G10" s="45">
        <f t="shared" ca="1" si="0"/>
        <v>12159.390000000001</v>
      </c>
      <c r="H10" s="22">
        <v>39.57</v>
      </c>
      <c r="I10" s="26">
        <v>45982</v>
      </c>
      <c r="J10" s="131">
        <v>6.9999999999999999E-4</v>
      </c>
      <c r="K10" s="131">
        <f t="shared" ca="1" si="1"/>
        <v>7.6913429175225659E-2</v>
      </c>
      <c r="L10" s="131">
        <f t="shared" ca="1" si="2"/>
        <v>2.7467764708056078E-2</v>
      </c>
      <c r="M10" s="131">
        <f t="shared" ca="1" si="3"/>
        <v>2.6767764708056078E-2</v>
      </c>
      <c r="N10" s="22">
        <v>235.6</v>
      </c>
      <c r="O10" s="15">
        <f t="shared" ca="1" si="4"/>
        <v>0.27262308998302198</v>
      </c>
      <c r="P10" s="15">
        <f t="shared" ca="1" si="5"/>
        <v>1.4152135456153792E-2</v>
      </c>
      <c r="Q10" s="15">
        <f t="shared" ca="1" si="6"/>
        <v>-0.25847095452686819</v>
      </c>
      <c r="R10" s="33"/>
      <c r="S10" s="37">
        <f t="shared" ca="1" si="7"/>
        <v>217</v>
      </c>
      <c r="T10" s="37"/>
      <c r="U10" s="5"/>
      <c r="W10" s="36"/>
    </row>
    <row r="11" spans="1:23" ht="13.15">
      <c r="A11" s="136" t="s">
        <v>18</v>
      </c>
      <c r="B11" s="20" t="str">
        <f ca="1">IFERROR(__xludf.DUMMYFUNCTION("IF(GOOGLEFINANCE(D11,""marketcap"")/1000000&gt;10000,""Large Cap"",IF(GOOGLEFINANCE(D11,""marketcap"")/1000000&gt;2000,""Mid Cap"",""Small Cap""))"),"Small Cap")</f>
        <v>Small Cap</v>
      </c>
      <c r="C11" s="138" t="str">
        <f ca="1">IFERROR(__xludf.DUMMYFUNCTION("GOOGLEFINANCE(D11,""Name"")"),"Progress Software Corp")</f>
        <v>Progress Software Corp</v>
      </c>
      <c r="D11" s="81" t="s">
        <v>129</v>
      </c>
      <c r="E11" s="135">
        <v>209</v>
      </c>
      <c r="F11" s="22">
        <f ca="1">IFERROR(__xludf.DUMMYFUNCTION("GOOGLEFINANCE(D11,""price"")"),33.15)</f>
        <v>33.15</v>
      </c>
      <c r="G11" s="45">
        <f t="shared" ca="1" si="0"/>
        <v>6928.3499999999995</v>
      </c>
      <c r="H11" s="22">
        <v>57.5</v>
      </c>
      <c r="I11" s="26">
        <v>45310</v>
      </c>
      <c r="J11" s="131">
        <v>5.9999999999999995E-4</v>
      </c>
      <c r="K11" s="131">
        <f t="shared" ca="1" si="1"/>
        <v>4.3824826494271066E-2</v>
      </c>
      <c r="L11" s="131">
        <f t="shared" ca="1" si="2"/>
        <v>1.5650973249074197E-2</v>
      </c>
      <c r="M11" s="131">
        <f t="shared" ca="1" si="3"/>
        <v>1.5050973249074198E-2</v>
      </c>
      <c r="N11" s="22">
        <v>192.4</v>
      </c>
      <c r="O11" s="15">
        <f t="shared" ca="1" si="4"/>
        <v>0.55836798336798332</v>
      </c>
      <c r="P11" s="15">
        <f t="shared" ca="1" si="5"/>
        <v>-0.42347826086956519</v>
      </c>
      <c r="Q11" s="15">
        <f t="shared" ca="1" si="6"/>
        <v>-0.98184624423754852</v>
      </c>
      <c r="R11" s="33"/>
      <c r="S11" s="37">
        <f t="shared" ca="1" si="7"/>
        <v>889</v>
      </c>
      <c r="T11" s="37"/>
      <c r="U11" s="5"/>
      <c r="W11" s="36"/>
    </row>
    <row r="12" spans="1:23" ht="12.75">
      <c r="A12" s="128" t="s">
        <v>34</v>
      </c>
      <c r="B12" s="20" t="str">
        <f ca="1">IFERROR(__xludf.DUMMYFUNCTION("IF(GOOGLEFINANCE(D12,""marketcap"")/1000000&gt;10000,""Large Cap"",IF(GOOGLEFINANCE(D12,""marketcap"")/1000000&gt;2000,""Mid Cap"",""Small Cap""))"),"Mid Cap")</f>
        <v>Mid Cap</v>
      </c>
      <c r="C12" s="138" t="str">
        <f ca="1">IFERROR(__xludf.DUMMYFUNCTION("GOOGLEFINANCE(D12,""Name"")"),"Select Medical Holdings Corp")</f>
        <v>Select Medical Holdings Corp</v>
      </c>
      <c r="D12" s="129" t="s">
        <v>130</v>
      </c>
      <c r="E12" s="130">
        <v>56.9</v>
      </c>
      <c r="F12" s="22">
        <f ca="1">IFERROR(__xludf.DUMMYFUNCTION("GOOGLEFINANCE(D12,""price"")"),16.5)</f>
        <v>16.5</v>
      </c>
      <c r="G12" s="45">
        <f t="shared" ca="1" si="0"/>
        <v>938.85</v>
      </c>
      <c r="H12" s="22">
        <v>33.090000000000003</v>
      </c>
      <c r="I12" s="26">
        <v>45572</v>
      </c>
      <c r="J12" s="131">
        <v>5.0000000000000001E-4</v>
      </c>
      <c r="K12" s="131">
        <f t="shared" ca="1" si="1"/>
        <v>5.9386345023196563E-3</v>
      </c>
      <c r="L12" s="131">
        <f t="shared" ca="1" si="2"/>
        <v>2.1208391947423718E-3</v>
      </c>
      <c r="M12" s="131">
        <f t="shared" ca="1" si="3"/>
        <v>1.6208391947423718E-3</v>
      </c>
      <c r="N12" s="22">
        <v>221.85</v>
      </c>
      <c r="O12" s="15">
        <f t="shared" ca="1" si="4"/>
        <v>0.35149876042370964</v>
      </c>
      <c r="P12" s="15">
        <f t="shared" ca="1" si="5"/>
        <v>-0.50135992747053493</v>
      </c>
      <c r="Q12" s="15">
        <f t="shared" ca="1" si="6"/>
        <v>-0.85285868789424457</v>
      </c>
      <c r="R12" s="33"/>
      <c r="S12" s="37">
        <f t="shared" ca="1" si="7"/>
        <v>627</v>
      </c>
      <c r="T12" s="37"/>
      <c r="U12" s="5"/>
      <c r="W12" s="36"/>
    </row>
    <row r="13" spans="1:23" ht="12.75">
      <c r="A13" s="128" t="s">
        <v>27</v>
      </c>
      <c r="B13" s="20" t="str">
        <f ca="1">IFERROR(__xludf.DUMMYFUNCTION("IF(GOOGLEFINANCE(D13,""marketcap"")/1000000&gt;10000,""Large Cap"",IF(GOOGLEFINANCE(D13,""marketcap"")/1000000&gt;2000,""Mid Cap"",""Small Cap""))"),"Large Cap")</f>
        <v>Large Cap</v>
      </c>
      <c r="C13" s="63" t="str">
        <f ca="1">IFERROR(__xludf.DUMMYFUNCTION("GOOGLEFINANCE(D13,""Name"")"),"UMB Financial Corp")</f>
        <v>UMB Financial Corp</v>
      </c>
      <c r="D13" s="129" t="s">
        <v>59</v>
      </c>
      <c r="E13" s="130">
        <v>75.099999999999994</v>
      </c>
      <c r="F13" s="22">
        <f ca="1">IFERROR(__xludf.DUMMYFUNCTION("GOOGLEFINANCE(D13,""price"")"),144.91)</f>
        <v>144.91</v>
      </c>
      <c r="G13" s="45">
        <f t="shared" ca="1" si="0"/>
        <v>10882.740999999998</v>
      </c>
      <c r="H13" s="22">
        <v>121.67</v>
      </c>
      <c r="I13" s="26">
        <v>45204</v>
      </c>
      <c r="J13" s="131">
        <v>2.8999999999999998E-3</v>
      </c>
      <c r="K13" s="131">
        <f t="shared" ca="1" si="1"/>
        <v>6.8838069108386551E-2</v>
      </c>
      <c r="L13" s="131">
        <f t="shared" ca="1" si="2"/>
        <v>2.458384583163422E-2</v>
      </c>
      <c r="M13" s="131">
        <f t="shared" ca="1" si="3"/>
        <v>2.168384583163422E-2</v>
      </c>
      <c r="N13" s="22">
        <v>229.63</v>
      </c>
      <c r="O13" s="15">
        <f t="shared" ca="1" si="4"/>
        <v>0.30570918434002525</v>
      </c>
      <c r="P13" s="15">
        <f t="shared" ca="1" si="5"/>
        <v>0.19100846552149253</v>
      </c>
      <c r="Q13" s="15">
        <f t="shared" ca="1" si="6"/>
        <v>-0.11470071881853272</v>
      </c>
      <c r="R13" s="33"/>
      <c r="S13" s="37">
        <f t="shared" ca="1" si="7"/>
        <v>995</v>
      </c>
      <c r="T13" s="37"/>
      <c r="U13" s="5"/>
      <c r="W13" s="36"/>
    </row>
    <row r="14" spans="1:23" ht="12.75">
      <c r="A14" s="128" t="s">
        <v>18</v>
      </c>
      <c r="B14" s="20" t="s">
        <v>105</v>
      </c>
      <c r="C14" s="138" t="s">
        <v>131</v>
      </c>
      <c r="D14" s="129" t="s">
        <v>132</v>
      </c>
      <c r="E14" s="130">
        <v>105</v>
      </c>
      <c r="F14" s="22">
        <f ca="1">IFERROR(__xludf.DUMMYFUNCTION("GOOGLEFINANCE(D14,""price"")"),49.05)</f>
        <v>49.05</v>
      </c>
      <c r="G14" s="45">
        <f t="shared" ca="1" si="0"/>
        <v>5150.25</v>
      </c>
      <c r="H14" s="22">
        <v>88.37</v>
      </c>
      <c r="I14" s="26">
        <v>45971</v>
      </c>
      <c r="J14" s="131">
        <v>1.2999999999999999E-3</v>
      </c>
      <c r="K14" s="139">
        <f t="shared" ca="1" si="1"/>
        <v>3.2577570799991275E-2</v>
      </c>
      <c r="L14" s="139">
        <f t="shared" ca="1" si="2"/>
        <v>1.1634288824329658E-2</v>
      </c>
      <c r="M14" s="131">
        <f t="shared" ca="1" si="3"/>
        <v>1.0334288824329657E-2</v>
      </c>
      <c r="N14" s="22">
        <v>244.03</v>
      </c>
      <c r="O14" s="15">
        <f t="shared" ca="1" si="4"/>
        <v>0.22866041060525344</v>
      </c>
      <c r="P14" s="15">
        <f t="shared" ca="1" si="5"/>
        <v>-0.4449473803326921</v>
      </c>
      <c r="Q14" s="15">
        <f t="shared" ca="1" si="6"/>
        <v>-0.67360779093794554</v>
      </c>
      <c r="R14" s="33"/>
      <c r="S14" s="37">
        <f t="shared" ca="1" si="7"/>
        <v>228</v>
      </c>
      <c r="T14" s="37"/>
      <c r="U14" s="5"/>
      <c r="W14" s="36"/>
    </row>
    <row r="15" spans="1:23" ht="12.75">
      <c r="A15" s="7" t="s">
        <v>63</v>
      </c>
      <c r="B15" s="42" t="s">
        <v>63</v>
      </c>
      <c r="C15" s="140" t="str">
        <f ca="1">IFERROR(__xludf.DUMMYFUNCTION("GOOGLEFINANCE(D15,""Name"")"),"iShares Russell 2000 ETF")</f>
        <v>iShares Russell 2000 ETF</v>
      </c>
      <c r="D15" s="42" t="s">
        <v>133</v>
      </c>
      <c r="E15" s="141">
        <f>879.16+70</f>
        <v>949.16</v>
      </c>
      <c r="F15" s="11">
        <f ca="1">IFERROR(__xludf.DUMMYFUNCTION("GOOGLEFINANCE(D15,""price"")"),299.83)</f>
        <v>299.83</v>
      </c>
      <c r="G15" s="57">
        <f ca="1">E15*F15</f>
        <v>284586.64279999997</v>
      </c>
      <c r="H15" s="14">
        <f ca="1">G15/G18</f>
        <v>0.64254100700422256</v>
      </c>
      <c r="I15" s="42"/>
      <c r="J15" s="42"/>
      <c r="K15" s="15">
        <f ca="1">G15/$G$18</f>
        <v>0.64254100700422256</v>
      </c>
      <c r="L15" s="131"/>
      <c r="M15" s="14">
        <f ca="1">AVERAGE(M2:M14)</f>
        <v>2.6255825551686655E-2</v>
      </c>
      <c r="N15" s="42"/>
      <c r="O15" s="42"/>
      <c r="P15" s="42"/>
      <c r="Q15" s="42"/>
      <c r="R15" s="58"/>
      <c r="S15" s="28"/>
      <c r="W15" s="36"/>
    </row>
    <row r="16" spans="1:23" ht="12.75">
      <c r="A16" s="82" t="s">
        <v>134</v>
      </c>
      <c r="B16" s="28"/>
      <c r="C16" s="28"/>
      <c r="D16" s="28"/>
      <c r="E16" s="28"/>
      <c r="F16" s="22"/>
      <c r="G16" s="22">
        <f ca="1">SUM(G2:G14)</f>
        <v>158091.89800000002</v>
      </c>
      <c r="H16" s="28"/>
      <c r="I16" s="28"/>
      <c r="J16" s="28"/>
      <c r="K16" s="28"/>
      <c r="L16" s="131"/>
      <c r="M16" s="28"/>
      <c r="N16" s="28"/>
      <c r="O16" s="28"/>
      <c r="P16" s="28"/>
      <c r="Q16" s="28"/>
      <c r="R16" s="33"/>
      <c r="S16" s="28"/>
      <c r="T16" s="28"/>
      <c r="U16" s="28"/>
      <c r="V16" s="28"/>
      <c r="W16" s="28"/>
    </row>
    <row r="17" spans="1:23" ht="12.75">
      <c r="A17" s="82" t="s">
        <v>60</v>
      </c>
      <c r="B17" s="28" t="s">
        <v>60</v>
      </c>
      <c r="C17" s="28" t="s">
        <v>60</v>
      </c>
      <c r="D17" s="28" t="s">
        <v>135</v>
      </c>
      <c r="E17" s="28"/>
      <c r="F17" s="22"/>
      <c r="G17" s="22">
        <v>229.6</v>
      </c>
      <c r="H17" s="28"/>
      <c r="I17" s="28"/>
      <c r="J17" s="28"/>
      <c r="K17" s="28"/>
      <c r="L17" s="131"/>
      <c r="M17" s="28"/>
      <c r="N17" s="28"/>
      <c r="O17" s="28"/>
      <c r="P17" s="28"/>
      <c r="Q17" s="28"/>
      <c r="R17" s="33"/>
      <c r="S17" s="28"/>
      <c r="T17" s="28"/>
      <c r="U17" s="28"/>
      <c r="V17" s="28"/>
      <c r="W17" s="28"/>
    </row>
    <row r="18" spans="1:23" ht="12.75">
      <c r="A18" s="46" t="s">
        <v>65</v>
      </c>
      <c r="B18" s="47">
        <f ca="1">COUNTA(B2:B14)</f>
        <v>13</v>
      </c>
      <c r="C18" s="47" t="s">
        <v>66</v>
      </c>
      <c r="D18" s="47"/>
      <c r="E18" s="47"/>
      <c r="F18" s="76"/>
      <c r="G18" s="142">
        <f ca="1">SUM(G$15:G17)</f>
        <v>442908.14079999994</v>
      </c>
      <c r="H18" s="47"/>
      <c r="I18" s="47"/>
      <c r="J18" s="47"/>
      <c r="K18" s="47"/>
      <c r="L18" s="139"/>
      <c r="M18" s="47"/>
      <c r="N18" s="47"/>
      <c r="O18" s="47"/>
      <c r="P18" s="47"/>
      <c r="Q18" s="47"/>
      <c r="R18" s="74"/>
      <c r="S18" s="28"/>
      <c r="T18" s="28"/>
      <c r="U18" s="28"/>
      <c r="V18" s="28"/>
      <c r="W18" s="28"/>
    </row>
    <row r="19" spans="1:23" ht="12.7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</row>
    <row r="20" spans="1:23" ht="12.75">
      <c r="A20" s="28"/>
      <c r="B20" s="28"/>
      <c r="C20" s="28"/>
      <c r="D20" s="28"/>
      <c r="E20" s="28" t="s">
        <v>68</v>
      </c>
      <c r="F20" s="45">
        <f ca="1">AVERAGE(G2:G12)</f>
        <v>12914.446090909092</v>
      </c>
      <c r="G20" s="143"/>
      <c r="H20" s="28"/>
      <c r="I20" s="28"/>
      <c r="J20" s="28"/>
      <c r="K20" s="28"/>
      <c r="L20" s="28"/>
      <c r="M20" s="15">
        <f ca="1">AVERAGE(M2:M12)</f>
        <v>2.8118872501451144E-2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</row>
    <row r="21" spans="1:23" ht="13.15">
      <c r="A21" s="28"/>
      <c r="B21" s="52">
        <v>46093</v>
      </c>
      <c r="C21" s="53" t="s">
        <v>67</v>
      </c>
      <c r="D21" s="28"/>
      <c r="E21" s="28" t="s">
        <v>136</v>
      </c>
      <c r="F21" s="15">
        <f ca="1">AVERAGE(K2:K12)</f>
        <v>8.1689487281056572E-2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</row>
    <row r="22" spans="1:23" ht="12.75">
      <c r="A22" s="28"/>
      <c r="B22" s="28"/>
      <c r="C22" s="28"/>
      <c r="D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</row>
    <row r="23" spans="1:23" ht="12.75">
      <c r="A23" s="28"/>
      <c r="B23" s="28"/>
      <c r="C23" s="28"/>
      <c r="D23" s="54" t="s">
        <v>71</v>
      </c>
      <c r="E23" s="54" t="s">
        <v>137</v>
      </c>
      <c r="F23" s="54" t="s">
        <v>73</v>
      </c>
      <c r="G23" s="54" t="s">
        <v>74</v>
      </c>
      <c r="H23" s="54" t="s">
        <v>3</v>
      </c>
      <c r="I23" s="54"/>
      <c r="J23" s="54" t="s">
        <v>75</v>
      </c>
      <c r="K23" s="54" t="s">
        <v>76</v>
      </c>
      <c r="L23" s="54"/>
      <c r="M23" s="54" t="s">
        <v>77</v>
      </c>
      <c r="N23" s="54"/>
      <c r="O23" s="54"/>
      <c r="P23" s="54"/>
      <c r="Q23" s="54" t="s">
        <v>78</v>
      </c>
      <c r="R23" s="54" t="s">
        <v>79</v>
      </c>
      <c r="S23" s="54" t="s">
        <v>8</v>
      </c>
      <c r="T23" s="54" t="s">
        <v>80</v>
      </c>
      <c r="U23" s="54" t="s">
        <v>81</v>
      </c>
      <c r="V23" s="54" t="s">
        <v>82</v>
      </c>
      <c r="W23" s="28"/>
    </row>
    <row r="24" spans="1:23" ht="12.75">
      <c r="A24" s="28"/>
      <c r="B24" s="20"/>
      <c r="D24" s="55" t="s">
        <v>18</v>
      </c>
      <c r="E24" s="42" t="str">
        <f ca="1">IFERROR(__xludf.DUMMYFUNCTION("iferror(IF(GOOGLEFINANCE(F24,""marketcap"")/1000000&gt;10000,""Large Cap"",IF(GOOGLEFINANCE(F24,""marketcap"")/1000000&gt;2000,""Mid Cap"",""Small Cap"")),"""")"),"")</f>
        <v/>
      </c>
      <c r="F24" s="56"/>
      <c r="G24" s="11">
        <f t="shared" ref="G24:G27" ca="1" si="8">J24*($G$18-$G$17-$G$15)</f>
        <v>15809.1898</v>
      </c>
      <c r="H24" s="58">
        <f t="shared" ref="H24:H27" ca="1" si="9">IFERROR(ROUND(G24/K24,0), 0)</f>
        <v>0</v>
      </c>
      <c r="I24" s="28"/>
      <c r="J24" s="59">
        <v>0.1</v>
      </c>
      <c r="K24" s="11">
        <f ca="1">IFERROR(__xludf.DUMMYFUNCTION("IFERROR(GOOGLEFINANCE(F24,""price""), 0)"),0)</f>
        <v>0</v>
      </c>
      <c r="L24" s="42"/>
      <c r="M24" s="11">
        <f t="shared" ref="M24:M27" ca="1" si="10">K24*H24</f>
        <v>0</v>
      </c>
      <c r="N24" s="11"/>
      <c r="O24" s="11"/>
      <c r="P24" s="11"/>
      <c r="Q24" s="11">
        <f t="shared" ref="Q24:Q27" si="11">IFERROR(VLOOKUP(F24,$D$2:$R$17,4,FALSE), 0)</f>
        <v>0</v>
      </c>
      <c r="R24" s="11">
        <f ca="1">M24+IFERROR(Q24,0)</f>
        <v>0</v>
      </c>
      <c r="S24" s="60"/>
      <c r="T24" s="61">
        <f t="shared" ref="T24:T27" ca="1" si="12">R24/($G$18-($G$17-$M$36+$M$37)-$G$15)</f>
        <v>0</v>
      </c>
      <c r="U24" s="14">
        <f>IFERROR(VLOOKUP(F24,$D$2:$R$37,8,FALSE),0)</f>
        <v>0</v>
      </c>
      <c r="V24" s="62">
        <f ca="1">T24-S24</f>
        <v>0</v>
      </c>
      <c r="W24" s="28"/>
    </row>
    <row r="25" spans="1:23" ht="12.75">
      <c r="A25" s="82"/>
      <c r="B25" s="20"/>
      <c r="D25" s="65"/>
      <c r="E25" s="28" t="str">
        <f ca="1">IFERROR(__xludf.DUMMYFUNCTION("iferror(IF(GOOGLEFINANCE(F25,""marketcap"")/1000000&gt;10000,""Large Cap"",IF(GOOGLEFINANCE(F25,""marketcap"")/1000000&gt;2000,""Mid Cap"",""Small Cap"")),"""")"),"")</f>
        <v/>
      </c>
      <c r="F25" s="66"/>
      <c r="G25" s="22">
        <f t="shared" ca="1" si="8"/>
        <v>0</v>
      </c>
      <c r="H25" s="33">
        <f t="shared" ca="1" si="9"/>
        <v>0</v>
      </c>
      <c r="I25" s="28"/>
      <c r="J25" s="67"/>
      <c r="K25" s="22">
        <f ca="1">IFERROR(__xludf.DUMMYFUNCTION("IFERROR(GOOGLEFINANCE(F25,""price""), 0)"),0)</f>
        <v>0</v>
      </c>
      <c r="L25" s="28"/>
      <c r="M25" s="22">
        <f t="shared" ca="1" si="10"/>
        <v>0</v>
      </c>
      <c r="N25" s="22"/>
      <c r="O25" s="22"/>
      <c r="P25" s="22"/>
      <c r="Q25" s="22">
        <f t="shared" si="11"/>
        <v>0</v>
      </c>
      <c r="R25" s="22">
        <f t="shared" ref="R25:R27" ca="1" si="13">M25+IFERROR(#REF!,0)</f>
        <v>0</v>
      </c>
      <c r="S25" s="68">
        <v>0</v>
      </c>
      <c r="T25" s="69">
        <f t="shared" ca="1" si="12"/>
        <v>0</v>
      </c>
      <c r="U25" s="15">
        <f t="shared" ref="U25:U27" si="14">IFERROR(VLOOKUP(F25,$D$2:$R$18,8,FALSE),0)</f>
        <v>0</v>
      </c>
      <c r="V25" s="70">
        <f t="shared" ref="V25:V27" ca="1" si="15">(R25/($G$18-$G$17-$G$15)-S25)</f>
        <v>0</v>
      </c>
      <c r="W25" s="28"/>
    </row>
    <row r="26" spans="1:23" ht="12.75">
      <c r="A26" s="82"/>
      <c r="B26" s="20"/>
      <c r="D26" s="65"/>
      <c r="E26" s="28" t="str">
        <f ca="1">IFERROR(__xludf.DUMMYFUNCTION("iferror(IF(GOOGLEFINANCE(F26,""marketcap"")/1000000&gt;10000,""Large Cap"",IF(GOOGLEFINANCE(F26,""marketcap"")/1000000&gt;2000,""Mid Cap"",""Small Cap"")),"""")"),"")</f>
        <v/>
      </c>
      <c r="F26" s="66"/>
      <c r="G26" s="22">
        <f t="shared" ca="1" si="8"/>
        <v>0</v>
      </c>
      <c r="H26" s="33">
        <f t="shared" ca="1" si="9"/>
        <v>0</v>
      </c>
      <c r="I26" s="28"/>
      <c r="J26" s="67"/>
      <c r="K26" s="22">
        <f ca="1">IFERROR(__xludf.DUMMYFUNCTION("IFERROR(GOOGLEFINANCE(F26,""price""), 0)"),0)</f>
        <v>0</v>
      </c>
      <c r="L26" s="28"/>
      <c r="M26" s="22">
        <f t="shared" ca="1" si="10"/>
        <v>0</v>
      </c>
      <c r="N26" s="22"/>
      <c r="O26" s="22"/>
      <c r="P26" s="22"/>
      <c r="Q26" s="22">
        <f t="shared" si="11"/>
        <v>0</v>
      </c>
      <c r="R26" s="22">
        <f t="shared" ca="1" si="13"/>
        <v>0</v>
      </c>
      <c r="S26" s="68">
        <v>0</v>
      </c>
      <c r="T26" s="69">
        <f t="shared" ca="1" si="12"/>
        <v>0</v>
      </c>
      <c r="U26" s="15">
        <f t="shared" si="14"/>
        <v>0</v>
      </c>
      <c r="V26" s="70">
        <f t="shared" ca="1" si="15"/>
        <v>0</v>
      </c>
      <c r="W26" s="28"/>
    </row>
    <row r="27" spans="1:23" ht="12.75">
      <c r="A27" s="82"/>
      <c r="B27" s="20"/>
      <c r="D27" s="71"/>
      <c r="E27" s="47" t="str">
        <f ca="1">IFERROR(__xludf.DUMMYFUNCTION("iferror(IF(GOOGLEFINANCE(F27,""marketcap"")/1000000&gt;10000,""Large Cap"",IF(GOOGLEFINANCE(F27,""marketcap"")/1000000&gt;2000,""Mid Cap"",""Small Cap"")),"""")"),"")</f>
        <v/>
      </c>
      <c r="F27" s="72"/>
      <c r="G27" s="76">
        <f t="shared" ca="1" si="8"/>
        <v>0</v>
      </c>
      <c r="H27" s="74">
        <f t="shared" ca="1" si="9"/>
        <v>0</v>
      </c>
      <c r="I27" s="28"/>
      <c r="J27" s="75"/>
      <c r="K27" s="76">
        <f ca="1">IFERROR(__xludf.DUMMYFUNCTION("IFERROR(GOOGLEFINANCE(F27,""price""), 0)"),0)</f>
        <v>0</v>
      </c>
      <c r="L27" s="47"/>
      <c r="M27" s="76">
        <f t="shared" ca="1" si="10"/>
        <v>0</v>
      </c>
      <c r="N27" s="76"/>
      <c r="O27" s="76"/>
      <c r="P27" s="76"/>
      <c r="Q27" s="76">
        <f t="shared" si="11"/>
        <v>0</v>
      </c>
      <c r="R27" s="76">
        <f t="shared" ca="1" si="13"/>
        <v>0</v>
      </c>
      <c r="S27" s="77">
        <v>0</v>
      </c>
      <c r="T27" s="78">
        <f t="shared" ca="1" si="12"/>
        <v>0</v>
      </c>
      <c r="U27" s="79">
        <f t="shared" si="14"/>
        <v>0</v>
      </c>
      <c r="V27" s="80">
        <f t="shared" ca="1" si="15"/>
        <v>0</v>
      </c>
      <c r="W27" s="28"/>
    </row>
    <row r="28" spans="1:23" ht="12.75">
      <c r="A28" s="82"/>
      <c r="B28" s="20"/>
      <c r="C28" s="81"/>
      <c r="D28" s="81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U28" s="28"/>
      <c r="V28" s="28"/>
      <c r="W28" s="28"/>
    </row>
    <row r="29" spans="1:23" ht="12.75">
      <c r="A29" s="82"/>
      <c r="B29" s="20"/>
      <c r="C29" s="81"/>
      <c r="D29" s="54" t="s">
        <v>71</v>
      </c>
      <c r="E29" s="54" t="s">
        <v>137</v>
      </c>
      <c r="F29" s="54" t="s">
        <v>83</v>
      </c>
      <c r="G29" s="54" t="s">
        <v>74</v>
      </c>
      <c r="H29" s="54" t="s">
        <v>3</v>
      </c>
      <c r="I29" s="54"/>
      <c r="J29" s="54" t="s">
        <v>84</v>
      </c>
      <c r="K29" s="54" t="s">
        <v>76</v>
      </c>
      <c r="L29" s="54"/>
      <c r="M29" s="54" t="s">
        <v>138</v>
      </c>
      <c r="N29" s="54"/>
      <c r="O29" s="54"/>
      <c r="P29" s="54"/>
      <c r="Q29" s="54" t="s">
        <v>78</v>
      </c>
      <c r="R29" s="54" t="s">
        <v>85</v>
      </c>
      <c r="S29" s="54" t="s">
        <v>8</v>
      </c>
      <c r="T29" s="54" t="s">
        <v>80</v>
      </c>
      <c r="U29" s="54" t="s">
        <v>81</v>
      </c>
      <c r="V29" s="54" t="s">
        <v>82</v>
      </c>
      <c r="W29" s="28"/>
    </row>
    <row r="30" spans="1:23" ht="12.75">
      <c r="A30" s="82"/>
      <c r="B30" s="20"/>
      <c r="C30" s="64"/>
      <c r="D30" s="55" t="s">
        <v>30</v>
      </c>
      <c r="E30" s="42" t="str">
        <f ca="1">IFERROR(__xludf.DUMMYFUNCTION("iferror(IF(GOOGLEFINANCE(F30,""marketcap"")/1000000&gt;10000,""Large Cap"",IF(GOOGLEFINANCE(F30,""marketcap"")/1000000&gt;2000,""Mid Cap"",""Small Cap"")),"""")"),"Mid Cap")</f>
        <v>Mid Cap</v>
      </c>
      <c r="F30" s="56" t="s">
        <v>121</v>
      </c>
      <c r="G30" s="11">
        <f t="shared" ref="G30:G33" ca="1" si="16">H30*K30</f>
        <v>7881</v>
      </c>
      <c r="H30" s="58">
        <v>100</v>
      </c>
      <c r="I30" s="28" t="s">
        <v>139</v>
      </c>
      <c r="J30" s="59"/>
      <c r="K30" s="11">
        <f ca="1">IFERROR(__xludf.DUMMYFUNCTION("IFERROR(GOOGLEFINANCE(F30,""price""), 0)"),78.81)</f>
        <v>78.81</v>
      </c>
      <c r="L30" s="42"/>
      <c r="M30" s="11">
        <f t="shared" ref="M30:M33" ca="1" si="17">K30*H30</f>
        <v>7881</v>
      </c>
      <c r="N30" s="11"/>
      <c r="O30" s="11"/>
      <c r="P30" s="11"/>
      <c r="Q30" s="11">
        <f ca="1">IFERROR(VLOOKUP(F30,$D$2:$R$17,4,FALSE), 0)</f>
        <v>24903.96</v>
      </c>
      <c r="R30" s="11">
        <f t="shared" ref="R30:R33" ca="1" si="18">Q30-M30</f>
        <v>17022.96</v>
      </c>
      <c r="S30" s="60">
        <v>0</v>
      </c>
      <c r="T30" s="61">
        <f t="shared" ref="T30:T33" ca="1" si="19">R30/($G$18-($G$17-$M$36+$M$37)-$G$15)</f>
        <v>0.11326265491081426</v>
      </c>
      <c r="U30" s="14">
        <f t="shared" ref="U30:U33" ca="1" si="20">IFERROR(VLOOKUP(F30,$D$2:$R$18,8,FALSE),0)</f>
        <v>0.15752837631185879</v>
      </c>
      <c r="V30" s="62">
        <f t="shared" ref="V30:V33" ca="1" si="21">(R30/($G$18-$G$17-$G$15)-S30)</f>
        <v>0.10767762431443514</v>
      </c>
      <c r="W30" s="28"/>
    </row>
    <row r="31" spans="1:23" ht="12.75">
      <c r="A31" s="82"/>
      <c r="B31" s="20"/>
      <c r="D31" s="65" t="s">
        <v>27</v>
      </c>
      <c r="E31" s="28" t="str">
        <f ca="1">IFERROR(__xludf.DUMMYFUNCTION("iferror(IF(GOOGLEFINANCE(F31,""marketcap"")/1000000&gt;10000,""Large Cap"",IF(GOOGLEFINANCE(F31,""marketcap"")/1000000&gt;2000,""Mid Cap"",""Small Cap"")),"""")"),"")</f>
        <v/>
      </c>
      <c r="F31" s="66" t="s">
        <v>86</v>
      </c>
      <c r="G31" s="22">
        <f t="shared" ca="1" si="16"/>
        <v>0</v>
      </c>
      <c r="H31" s="33">
        <v>100</v>
      </c>
      <c r="I31" s="28" t="s">
        <v>140</v>
      </c>
      <c r="J31" s="67"/>
      <c r="K31" s="22">
        <f ca="1">IFERROR(__xludf.DUMMYFUNCTION("IFERROR(GOOGLEFINANCE(F31,""price""), 0)"),0)</f>
        <v>0</v>
      </c>
      <c r="L31" s="28"/>
      <c r="M31" s="22">
        <f t="shared" ca="1" si="17"/>
        <v>0</v>
      </c>
      <c r="N31" s="22"/>
      <c r="O31" s="22"/>
      <c r="P31" s="22"/>
      <c r="Q31" s="22">
        <f t="shared" ref="Q31:Q33" si="22">IFERROR(VLOOKUP(F31,$D$2:$R$37,4,FALSE), 0)</f>
        <v>0</v>
      </c>
      <c r="R31" s="22">
        <f t="shared" ca="1" si="18"/>
        <v>0</v>
      </c>
      <c r="S31" s="68">
        <v>0</v>
      </c>
      <c r="T31" s="69">
        <f t="shared" ca="1" si="19"/>
        <v>0</v>
      </c>
      <c r="U31" s="15">
        <f t="shared" si="20"/>
        <v>0</v>
      </c>
      <c r="V31" s="70">
        <f t="shared" ca="1" si="21"/>
        <v>0</v>
      </c>
      <c r="W31" s="28"/>
    </row>
    <row r="32" spans="1:23" ht="12.75">
      <c r="A32" s="82"/>
      <c r="B32" s="20"/>
      <c r="D32" s="65"/>
      <c r="E32" s="28" t="str">
        <f ca="1">IFERROR(__xludf.DUMMYFUNCTION("iferror(IF(GOOGLEFINANCE(F32,""marketcap"")/1000000&gt;10000,""Large Cap"",IF(GOOGLEFINANCE(F32,""marketcap"")/1000000&gt;2000,""Mid Cap"",""Small Cap"")),"""")"),"")</f>
        <v/>
      </c>
      <c r="F32" s="66"/>
      <c r="G32" s="22">
        <f t="shared" ca="1" si="16"/>
        <v>0</v>
      </c>
      <c r="H32" s="33">
        <f t="shared" ref="H32:H33" si="23">IFERROR(ROUND(VLOOKUP(F32,$D$1:$R$18,2,FALSE)*J32,0),0)</f>
        <v>0</v>
      </c>
      <c r="I32" s="28"/>
      <c r="J32" s="67"/>
      <c r="K32" s="22">
        <f ca="1">IFERROR(__xludf.DUMMYFUNCTION("IFERROR(GOOGLEFINANCE(F32,""price""), 0)"),0)</f>
        <v>0</v>
      </c>
      <c r="L32" s="28"/>
      <c r="M32" s="22">
        <f t="shared" ca="1" si="17"/>
        <v>0</v>
      </c>
      <c r="N32" s="22"/>
      <c r="O32" s="22"/>
      <c r="P32" s="22"/>
      <c r="Q32" s="22">
        <f t="shared" si="22"/>
        <v>0</v>
      </c>
      <c r="R32" s="22">
        <f t="shared" ca="1" si="18"/>
        <v>0</v>
      </c>
      <c r="S32" s="68">
        <v>0</v>
      </c>
      <c r="T32" s="69">
        <f t="shared" ca="1" si="19"/>
        <v>0</v>
      </c>
      <c r="U32" s="15">
        <f t="shared" si="20"/>
        <v>0</v>
      </c>
      <c r="V32" s="70">
        <f t="shared" ca="1" si="21"/>
        <v>0</v>
      </c>
      <c r="W32" s="28"/>
    </row>
    <row r="33" spans="1:33" ht="12.75">
      <c r="A33" s="82"/>
      <c r="B33" s="20"/>
      <c r="D33" s="71"/>
      <c r="E33" s="47" t="str">
        <f ca="1">IFERROR(__xludf.DUMMYFUNCTION("iferror(IF(GOOGLEFINANCE(F33,""marketcap"")/1000000&gt;10000,""Large Cap"",IF(GOOGLEFINANCE(F33,""marketcap"")/1000000&gt;2000,""Mid Cap"",""Small Cap"")),"""")"),"")</f>
        <v/>
      </c>
      <c r="F33" s="72"/>
      <c r="G33" s="76">
        <f t="shared" ca="1" si="16"/>
        <v>0</v>
      </c>
      <c r="H33" s="74">
        <f t="shared" si="23"/>
        <v>0</v>
      </c>
      <c r="I33" s="28"/>
      <c r="J33" s="75"/>
      <c r="K33" s="76">
        <f ca="1">IFERROR(__xludf.DUMMYFUNCTION("IFERROR(GOOGLEFINANCE(F33,""price""), 0)"),0)</f>
        <v>0</v>
      </c>
      <c r="L33" s="47"/>
      <c r="M33" s="76">
        <f t="shared" ca="1" si="17"/>
        <v>0</v>
      </c>
      <c r="N33" s="76"/>
      <c r="O33" s="76"/>
      <c r="P33" s="76"/>
      <c r="Q33" s="76">
        <f t="shared" si="22"/>
        <v>0</v>
      </c>
      <c r="R33" s="76">
        <f t="shared" ca="1" si="18"/>
        <v>0</v>
      </c>
      <c r="S33" s="77">
        <v>0</v>
      </c>
      <c r="T33" s="78">
        <f t="shared" ca="1" si="19"/>
        <v>0</v>
      </c>
      <c r="U33" s="79">
        <f t="shared" si="20"/>
        <v>0</v>
      </c>
      <c r="V33" s="80">
        <f t="shared" ca="1" si="21"/>
        <v>0</v>
      </c>
      <c r="W33" s="28"/>
    </row>
    <row r="34" spans="1:33" ht="12.75">
      <c r="A34" s="82"/>
      <c r="B34" s="20"/>
      <c r="C34" s="81"/>
      <c r="D34" s="81"/>
      <c r="E34" s="28"/>
      <c r="F34" s="28"/>
      <c r="G34" s="22"/>
      <c r="H34" s="28"/>
      <c r="I34" s="28"/>
      <c r="J34" s="15"/>
      <c r="K34" s="22"/>
      <c r="L34" s="54"/>
      <c r="M34" s="84">
        <f ca="1">SUM(M24:M27)-SUM(M30:M33)</f>
        <v>-7881</v>
      </c>
      <c r="N34" s="22"/>
      <c r="O34" s="22"/>
      <c r="P34" s="22"/>
      <c r="Q34" s="22"/>
      <c r="R34" s="28"/>
      <c r="U34" s="28"/>
      <c r="V34" s="28"/>
      <c r="W34" s="28"/>
    </row>
    <row r="35" spans="1:33" ht="12.75">
      <c r="A35" s="28"/>
      <c r="B35" s="28"/>
      <c r="C35" s="81"/>
      <c r="D35" s="81"/>
      <c r="E35" s="54"/>
      <c r="F35" s="28"/>
      <c r="G35" s="22"/>
      <c r="H35" s="28"/>
      <c r="I35" s="28"/>
      <c r="J35" s="15"/>
      <c r="K35" s="22"/>
      <c r="L35" s="28"/>
      <c r="M35" s="28"/>
      <c r="N35" s="84"/>
      <c r="O35" s="84"/>
      <c r="P35" s="84"/>
      <c r="Q35" s="84" t="s">
        <v>92</v>
      </c>
      <c r="R35" s="54" t="s">
        <v>93</v>
      </c>
      <c r="S35" s="28"/>
      <c r="T35" s="28"/>
      <c r="U35" s="28"/>
      <c r="V35" s="28"/>
      <c r="W35" s="28"/>
    </row>
    <row r="36" spans="1:33" ht="12.75">
      <c r="A36" s="28"/>
      <c r="B36" s="28"/>
      <c r="C36" s="81"/>
      <c r="D36" s="81"/>
      <c r="E36" s="54" t="s">
        <v>94</v>
      </c>
      <c r="F36" s="28" t="s">
        <v>133</v>
      </c>
      <c r="G36" s="22">
        <f ca="1">IF(M34&gt;0, M34, 0)</f>
        <v>0</v>
      </c>
      <c r="H36" s="28">
        <f ca="1">ROUNDUP(G36/K36,0)</f>
        <v>0</v>
      </c>
      <c r="I36" s="28"/>
      <c r="J36" s="15">
        <f ca="1">(H36*K36)/G18</f>
        <v>0</v>
      </c>
      <c r="K36" s="22">
        <f ca="1">IFERROR(__xludf.DUMMYFUNCTION("GOOGLEFINANCE(F36,""price"")"),299.83)</f>
        <v>299.83</v>
      </c>
      <c r="L36" s="28"/>
      <c r="M36" s="22">
        <f t="shared" ref="M36:M37" ca="1" si="24">H36*K36</f>
        <v>0</v>
      </c>
      <c r="N36" s="22"/>
      <c r="O36" s="22"/>
      <c r="P36" s="22"/>
      <c r="Q36" s="22">
        <f t="shared" ref="Q36:Q37" ca="1" si="25">$G$15</f>
        <v>284586.64279999997</v>
      </c>
      <c r="R36" s="22">
        <f ca="1">Q36-M36</f>
        <v>284586.64279999997</v>
      </c>
      <c r="S36" s="28"/>
      <c r="T36" s="28"/>
      <c r="U36" s="28"/>
      <c r="V36" s="28"/>
      <c r="W36" s="28"/>
    </row>
    <row r="37" spans="1:33" ht="12.75">
      <c r="A37" s="28"/>
      <c r="B37" s="28"/>
      <c r="C37" s="81"/>
      <c r="D37" s="81"/>
      <c r="E37" s="54" t="s">
        <v>95</v>
      </c>
      <c r="F37" s="28" t="s">
        <v>133</v>
      </c>
      <c r="G37" s="22">
        <f ca="1">IF(M34&lt;0, M34*-1, 0)</f>
        <v>7881</v>
      </c>
      <c r="H37" s="28">
        <f ca="1">ROUNDDOWN(G37/K37,0)</f>
        <v>26</v>
      </c>
      <c r="I37" s="28"/>
      <c r="J37" s="15">
        <f ca="1">(H37*K37)/G18</f>
        <v>1.7600895720542152E-2</v>
      </c>
      <c r="K37" s="22">
        <f ca="1">IFERROR(__xludf.DUMMYFUNCTION("GOOGLEFINANCE(F37,""price"")"),299.83)</f>
        <v>299.83</v>
      </c>
      <c r="L37" s="28"/>
      <c r="M37" s="22">
        <f t="shared" ca="1" si="24"/>
        <v>7795.58</v>
      </c>
      <c r="N37" s="22"/>
      <c r="O37" s="22"/>
      <c r="P37" s="22"/>
      <c r="Q37" s="22">
        <f t="shared" ca="1" si="25"/>
        <v>284586.64279999997</v>
      </c>
      <c r="R37" s="22">
        <f t="shared" ref="R37:R38" ca="1" si="26">Q37+M37</f>
        <v>292382.22279999999</v>
      </c>
      <c r="S37" s="28">
        <f ca="1">Q37/G18</f>
        <v>0.64254100700422256</v>
      </c>
      <c r="T37" s="28">
        <f ca="1">R37/G18</f>
        <v>0.66014190272476481</v>
      </c>
      <c r="U37" s="28"/>
      <c r="V37" s="28"/>
      <c r="W37" s="28"/>
    </row>
    <row r="38" spans="1:33" ht="12.75">
      <c r="A38" s="28"/>
      <c r="B38" s="28"/>
      <c r="C38" s="81"/>
      <c r="D38" s="81"/>
      <c r="G38" s="28"/>
      <c r="H38" s="28"/>
      <c r="I38" s="28"/>
      <c r="J38" s="28"/>
      <c r="K38" s="85" t="s">
        <v>96</v>
      </c>
      <c r="L38" s="28"/>
      <c r="M38" s="22">
        <f ca="1">M36-M37-M34</f>
        <v>85.420000000000073</v>
      </c>
      <c r="N38" s="28"/>
      <c r="O38" s="28"/>
      <c r="P38" s="28"/>
      <c r="Q38" s="22">
        <f>G17</f>
        <v>229.6</v>
      </c>
      <c r="R38" s="22">
        <f t="shared" ca="1" si="26"/>
        <v>315.0200000000001</v>
      </c>
      <c r="S38" s="28"/>
      <c r="T38" s="28"/>
      <c r="U38" s="28"/>
      <c r="V38" s="28"/>
      <c r="W38" s="28"/>
    </row>
    <row r="39" spans="1:33" ht="12.75" collapsed="1">
      <c r="A39" s="28"/>
      <c r="B39" s="28"/>
      <c r="C39" s="81"/>
      <c r="D39" s="144" t="s">
        <v>97</v>
      </c>
      <c r="E39" s="87"/>
      <c r="F39" s="22"/>
      <c r="G39" s="22"/>
      <c r="H39" s="22"/>
      <c r="I39" s="22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</row>
    <row r="40" spans="1:33" ht="12.75" hidden="1" outlineLevel="1">
      <c r="A40" s="28"/>
      <c r="B40" s="28"/>
      <c r="C40" s="81"/>
      <c r="D40" s="84" t="s">
        <v>99</v>
      </c>
      <c r="E40" s="22"/>
      <c r="F40" s="22"/>
      <c r="G40" s="28" t="s">
        <v>100</v>
      </c>
      <c r="H40" s="28"/>
      <c r="I40" s="28"/>
      <c r="J40" s="15"/>
      <c r="K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</row>
    <row r="41" spans="1:33" ht="13.15" hidden="1" outlineLevel="1">
      <c r="C41" s="81"/>
      <c r="D41" s="1" t="s">
        <v>71</v>
      </c>
      <c r="E41" s="2" t="s">
        <v>101</v>
      </c>
      <c r="F41" s="2" t="s">
        <v>102</v>
      </c>
      <c r="G41" s="2" t="s">
        <v>103</v>
      </c>
      <c r="H41" s="90" t="s">
        <v>104</v>
      </c>
      <c r="I41" s="91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1:33" ht="12.75" hidden="1" outlineLevel="1">
      <c r="C42" s="81"/>
      <c r="D42" s="82" t="s">
        <v>22</v>
      </c>
      <c r="E42" s="22">
        <f t="shared" ref="E42:E48" si="27">SUMIF($A$2:$A$18,D42,$G$2:$G$18)</f>
        <v>0</v>
      </c>
      <c r="F42" s="15">
        <f t="shared" ref="F42:F48" ca="1" si="28">E42/$E$49</f>
        <v>0</v>
      </c>
      <c r="G42" s="22">
        <f t="shared" ref="G42:G46" si="29">E42+(IF($D$24=D42, $M$24, 0)+IF($D$25=D42, $M$25, 0)+IF($D$26=D42, $M$26, 0)+IF($D$27=D42, $M$27, 0)-IF($D$30=D42, $M$30, 0)-IF($D$31=D42, $M$31, 0)-IF($D$32=D42, $M$32, 0)-IF($D$33=D42,$M$33,0))</f>
        <v>0</v>
      </c>
      <c r="H42" s="15">
        <f t="shared" ref="H42:H48" ca="1" si="30">G42/$G$49</f>
        <v>0</v>
      </c>
      <c r="I42" s="94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1:33" ht="12.75" hidden="1" outlineLevel="1">
      <c r="C43" s="81"/>
      <c r="D43" s="82" t="s">
        <v>30</v>
      </c>
      <c r="E43" s="22">
        <f t="shared" ca="1" si="27"/>
        <v>68099.342000000004</v>
      </c>
      <c r="F43" s="15">
        <f t="shared" ca="1" si="28"/>
        <v>0.15375500183174781</v>
      </c>
      <c r="G43" s="22">
        <f t="shared" ca="1" si="29"/>
        <v>60218.342000000004</v>
      </c>
      <c r="H43" s="15">
        <f t="shared" ca="1" si="30"/>
        <v>0.13596124444953983</v>
      </c>
      <c r="I43" s="94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1:33" ht="12.75" hidden="1" outlineLevel="1">
      <c r="C44" s="81"/>
      <c r="D44" s="82" t="s">
        <v>34</v>
      </c>
      <c r="E44" s="22">
        <f t="shared" ca="1" si="27"/>
        <v>31796.43</v>
      </c>
      <c r="F44" s="15">
        <f t="shared" ca="1" si="28"/>
        <v>7.1790123212835746E-2</v>
      </c>
      <c r="G44" s="22">
        <f t="shared" ca="1" si="29"/>
        <v>31796.43</v>
      </c>
      <c r="H44" s="15">
        <f t="shared" ca="1" si="30"/>
        <v>7.1790123212835746E-2</v>
      </c>
      <c r="I44" s="94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  <row r="45" spans="1:33" ht="12.75" hidden="1" outlineLevel="1">
      <c r="C45" s="81"/>
      <c r="D45" s="82" t="s">
        <v>18</v>
      </c>
      <c r="E45" s="22">
        <f t="shared" ca="1" si="27"/>
        <v>12078.599999999999</v>
      </c>
      <c r="F45" s="15">
        <f t="shared" ca="1" si="28"/>
        <v>2.7271117614101892E-2</v>
      </c>
      <c r="G45" s="22">
        <f t="shared" ca="1" si="29"/>
        <v>12078.599999999999</v>
      </c>
      <c r="H45" s="15">
        <f t="shared" ca="1" si="30"/>
        <v>2.7271117614101888E-2</v>
      </c>
      <c r="I45" s="94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2.75" hidden="1" outlineLevel="1">
      <c r="C46" s="81"/>
      <c r="D46" s="82" t="s">
        <v>27</v>
      </c>
      <c r="E46" s="22">
        <f t="shared" ca="1" si="27"/>
        <v>46117.525999999998</v>
      </c>
      <c r="F46" s="15">
        <f t="shared" ca="1" si="28"/>
        <v>0.1041243584204628</v>
      </c>
      <c r="G46" s="22">
        <f t="shared" ca="1" si="29"/>
        <v>46117.525999999998</v>
      </c>
      <c r="H46" s="15">
        <f t="shared" ca="1" si="30"/>
        <v>0.10412435842046279</v>
      </c>
      <c r="I46" s="94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</row>
    <row r="47" spans="1:33" ht="12.75" hidden="1" outlineLevel="1">
      <c r="C47" s="81"/>
      <c r="D47" s="82" t="s">
        <v>63</v>
      </c>
      <c r="E47" s="22">
        <f t="shared" ca="1" si="27"/>
        <v>284586.64279999997</v>
      </c>
      <c r="F47" s="15">
        <f t="shared" ca="1" si="28"/>
        <v>0.64254100700422256</v>
      </c>
      <c r="G47" s="22">
        <f ca="1">E47-M36+M37</f>
        <v>292382.22279999999</v>
      </c>
      <c r="H47" s="15">
        <f t="shared" ca="1" si="30"/>
        <v>0.6601419027247647</v>
      </c>
      <c r="I47" s="94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</row>
    <row r="48" spans="1:33" ht="12.75" hidden="1" outlineLevel="1">
      <c r="C48" s="81"/>
      <c r="D48" s="82" t="s">
        <v>60</v>
      </c>
      <c r="E48" s="22">
        <f t="shared" si="27"/>
        <v>229.6</v>
      </c>
      <c r="F48" s="15">
        <f t="shared" ca="1" si="28"/>
        <v>5.1839191662922813E-4</v>
      </c>
      <c r="G48" s="22">
        <f ca="1">R38</f>
        <v>315.0200000000001</v>
      </c>
      <c r="H48" s="15">
        <f t="shared" ca="1" si="30"/>
        <v>7.1125357829503254E-4</v>
      </c>
      <c r="I48" s="94"/>
      <c r="K48" s="6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 spans="4:33" ht="12.75" hidden="1" outlineLevel="1">
      <c r="D49" s="100" t="s">
        <v>65</v>
      </c>
      <c r="E49" s="101">
        <f t="shared" ref="E49:H49" ca="1" si="31">SUM(E42:E48)</f>
        <v>442908.14079999994</v>
      </c>
      <c r="F49" s="102">
        <f t="shared" ca="1" si="31"/>
        <v>1</v>
      </c>
      <c r="G49" s="101">
        <f t="shared" ca="1" si="31"/>
        <v>442908.14079999999</v>
      </c>
      <c r="H49" s="103">
        <f t="shared" ca="1" si="31"/>
        <v>1</v>
      </c>
      <c r="I49" s="6"/>
      <c r="J49" s="6"/>
      <c r="K49" s="6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</row>
    <row r="50" spans="4:33" ht="12.75" hidden="1" outlineLevel="1">
      <c r="D50" s="22"/>
      <c r="E50" s="22"/>
      <c r="F50" s="22"/>
      <c r="G50" s="6"/>
      <c r="H50" s="6"/>
      <c r="I50" s="6"/>
      <c r="J50" s="6"/>
      <c r="K50" s="6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</row>
    <row r="51" spans="4:33" ht="12.75" hidden="1" outlineLevel="1">
      <c r="D51" s="84" t="s">
        <v>107</v>
      </c>
      <c r="E51" s="22"/>
      <c r="F51" s="22"/>
      <c r="G51" s="28" t="s">
        <v>100</v>
      </c>
      <c r="H51" s="6"/>
      <c r="I51" s="6"/>
      <c r="J51" s="6"/>
      <c r="K51" s="6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spans="4:33" ht="12.75" hidden="1" outlineLevel="1">
      <c r="D52" s="1" t="s">
        <v>71</v>
      </c>
      <c r="E52" s="2" t="s">
        <v>101</v>
      </c>
      <c r="F52" s="2" t="s">
        <v>108</v>
      </c>
      <c r="G52" s="2" t="s">
        <v>103</v>
      </c>
      <c r="H52" s="90" t="s">
        <v>104</v>
      </c>
      <c r="K52" s="6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</row>
    <row r="53" spans="4:33" ht="12.75" hidden="1" outlineLevel="1">
      <c r="D53" s="82" t="s">
        <v>22</v>
      </c>
      <c r="E53" s="22">
        <f t="shared" ref="E53:E58" si="32">SUMIF($A$2:$A$18,D53,$G$2:$G$18)</f>
        <v>0</v>
      </c>
      <c r="F53" s="15">
        <f t="shared" ref="F53:F58" ca="1" si="33">E53/$E$59</f>
        <v>0</v>
      </c>
      <c r="G53" s="22">
        <f t="shared" ref="G53:G57" si="34">E53+(IF($D$24=D53, $M$24, 0)+IF($D$25=D53, $M$25, 0)+IF($D$26=D53, $M$26, 0)+IF($D$27=D53, $M$27, 0)-IF($D$30=D53, $M$30, 0)-IF($D$31=D53, $M$31, 0)-IF($D$32=D53, $M$32, 0)-IF($D$33=D53,$M$33,0))</f>
        <v>0</v>
      </c>
      <c r="H53" s="95">
        <f t="shared" ref="H53:H58" ca="1" si="35">G53/$G$59</f>
        <v>0</v>
      </c>
      <c r="K53" s="6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</row>
    <row r="54" spans="4:33" ht="12.75" hidden="1" outlineLevel="1">
      <c r="D54" s="82" t="s">
        <v>30</v>
      </c>
      <c r="E54" s="22">
        <f t="shared" ca="1" si="32"/>
        <v>68099.342000000004</v>
      </c>
      <c r="F54" s="15">
        <f t="shared" ca="1" si="33"/>
        <v>0.15383474852187823</v>
      </c>
      <c r="G54" s="22">
        <f t="shared" ca="1" si="34"/>
        <v>60218.342000000004</v>
      </c>
      <c r="H54" s="95">
        <f t="shared" ca="1" si="35"/>
        <v>0.1360580162004181</v>
      </c>
      <c r="K54" s="6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</row>
    <row r="55" spans="4:33" ht="12.75" hidden="1" outlineLevel="1">
      <c r="D55" s="82" t="s">
        <v>34</v>
      </c>
      <c r="E55" s="22">
        <f t="shared" ca="1" si="32"/>
        <v>31796.43</v>
      </c>
      <c r="F55" s="15">
        <f t="shared" ca="1" si="33"/>
        <v>7.1827357934581865E-2</v>
      </c>
      <c r="G55" s="22">
        <f t="shared" ca="1" si="34"/>
        <v>31796.43</v>
      </c>
      <c r="H55" s="95">
        <f t="shared" ca="1" si="35"/>
        <v>7.1841220538012493E-2</v>
      </c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</row>
    <row r="56" spans="4:33" ht="12.75" hidden="1" outlineLevel="1">
      <c r="D56" s="82" t="s">
        <v>18</v>
      </c>
      <c r="E56" s="22">
        <f t="shared" ca="1" si="32"/>
        <v>12078.599999999999</v>
      </c>
      <c r="F56" s="15">
        <f t="shared" ca="1" si="33"/>
        <v>2.7285262073403854E-2</v>
      </c>
      <c r="G56" s="22">
        <f t="shared" ca="1" si="34"/>
        <v>12078.599999999999</v>
      </c>
      <c r="H56" s="95">
        <f t="shared" ca="1" si="35"/>
        <v>2.7290528099866481E-2</v>
      </c>
      <c r="K56" s="6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</row>
    <row r="57" spans="4:33" ht="12.75" hidden="1" outlineLevel="1">
      <c r="D57" s="82" t="s">
        <v>27</v>
      </c>
      <c r="E57" s="22">
        <f t="shared" ca="1" si="32"/>
        <v>46117.525999999998</v>
      </c>
      <c r="F57" s="15">
        <f t="shared" ca="1" si="33"/>
        <v>0.1041783636420625</v>
      </c>
      <c r="G57" s="22">
        <f t="shared" ca="1" si="34"/>
        <v>46117.525999999998</v>
      </c>
      <c r="H57" s="95">
        <f t="shared" ca="1" si="35"/>
        <v>0.1041984699550712</v>
      </c>
      <c r="K57" s="6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</row>
    <row r="58" spans="4:33" ht="12.75" hidden="1" outlineLevel="1">
      <c r="D58" s="82" t="s">
        <v>63</v>
      </c>
      <c r="E58" s="22">
        <f t="shared" ca="1" si="32"/>
        <v>284586.64279999997</v>
      </c>
      <c r="F58" s="15">
        <f t="shared" ca="1" si="33"/>
        <v>0.64287426782807355</v>
      </c>
      <c r="G58" s="22">
        <f ca="1">E58-M36+M37</f>
        <v>292382.22279999999</v>
      </c>
      <c r="H58" s="95">
        <f t="shared" ca="1" si="35"/>
        <v>0.66061176520663178</v>
      </c>
      <c r="K58" s="6"/>
      <c r="S58" s="6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</row>
    <row r="59" spans="4:33" ht="12.75" hidden="1" outlineLevel="1">
      <c r="D59" s="100" t="s">
        <v>65</v>
      </c>
      <c r="E59" s="101">
        <f t="shared" ref="E59:H59" ca="1" si="36">SUM(E53:E58)</f>
        <v>442678.54079999996</v>
      </c>
      <c r="F59" s="102">
        <f t="shared" ca="1" si="36"/>
        <v>1</v>
      </c>
      <c r="G59" s="101">
        <f t="shared" ca="1" si="36"/>
        <v>442593.12079999998</v>
      </c>
      <c r="H59" s="103">
        <f t="shared" ca="1" si="36"/>
        <v>1</v>
      </c>
      <c r="K59" s="6"/>
      <c r="S59" s="6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</row>
    <row r="60" spans="4:33" ht="12.75" hidden="1" outlineLevel="1">
      <c r="F60" s="104" t="s">
        <v>109</v>
      </c>
      <c r="G60" s="22">
        <f ca="1">E59-G59</f>
        <v>85.419999999983702</v>
      </c>
      <c r="K60" s="6"/>
      <c r="S60" s="6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</row>
    <row r="61" spans="4:33" ht="12.75" hidden="1" outlineLevel="1">
      <c r="D61" s="22"/>
      <c r="E61" s="22"/>
      <c r="F61" s="22"/>
      <c r="G61" s="28"/>
      <c r="H61" s="6"/>
      <c r="I61" s="6"/>
      <c r="J61" s="6"/>
      <c r="K61" s="6"/>
      <c r="S61" s="6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</row>
    <row r="62" spans="4:33" ht="12.75">
      <c r="D62" s="84" t="s">
        <v>110</v>
      </c>
      <c r="E62" s="22"/>
      <c r="F62" s="22"/>
      <c r="G62" s="28" t="s">
        <v>100</v>
      </c>
      <c r="H62" s="6"/>
      <c r="I62" s="6"/>
      <c r="J62" s="6"/>
      <c r="K62" s="6"/>
      <c r="S62" s="6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</row>
    <row r="63" spans="4:33" ht="12.75">
      <c r="D63" s="1" t="s">
        <v>71</v>
      </c>
      <c r="E63" s="2" t="s">
        <v>101</v>
      </c>
      <c r="F63" s="2" t="s">
        <v>108</v>
      </c>
      <c r="G63" s="2" t="s">
        <v>103</v>
      </c>
      <c r="H63" s="90" t="s">
        <v>104</v>
      </c>
      <c r="I63" s="2" t="s">
        <v>112</v>
      </c>
      <c r="J63" s="3" t="s">
        <v>113</v>
      </c>
      <c r="K63" s="93" t="s">
        <v>114</v>
      </c>
      <c r="S63" s="6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</row>
    <row r="64" spans="4:33" ht="12.75">
      <c r="D64" s="7" t="str">
        <f t="shared" ref="D64:E64" si="37">D53</f>
        <v>Consumer</v>
      </c>
      <c r="E64" s="11">
        <f t="shared" si="37"/>
        <v>0</v>
      </c>
      <c r="F64" s="61">
        <f t="shared" ref="F64:F68" ca="1" si="38">E64/$E$69</f>
        <v>0</v>
      </c>
      <c r="G64" s="145">
        <f t="shared" ref="G64:G68" si="39">E64+(IF($D$24=D64, $M$24, 0)+IF($D$25=D64, $M$25, 0)+IF($D$26=D64, $M$26, 0)+IF($D$27=D64, $M$27, 0)-IF($D$30=D64, $M$30, 0)-IF($D$31=D64, $M$31, 0)-IF($D$32=D64, $M$32, 0)-IF($D$33=D64,$M$33,0))</f>
        <v>0</v>
      </c>
      <c r="H64" s="146">
        <f t="shared" ref="H64:H68" ca="1" si="40">G64/$G$69</f>
        <v>0</v>
      </c>
      <c r="I64" s="147">
        <f t="shared" ref="I64:I68" ca="1" si="41">H64-K64</f>
        <v>-0.12401002506265665</v>
      </c>
      <c r="J64" s="148">
        <f>10.05%+2.32%</f>
        <v>0.1237</v>
      </c>
      <c r="K64" s="110">
        <f t="shared" ref="K64:K68" si="42">J64/SUM($J$64:$J$68)</f>
        <v>0.12401002506265665</v>
      </c>
      <c r="S64" s="6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</row>
    <row r="65" spans="4:33" ht="12.75">
      <c r="D65" s="82" t="str">
        <f t="shared" ref="D65:E65" si="43">D54</f>
        <v>IME</v>
      </c>
      <c r="E65" s="22">
        <f t="shared" ca="1" si="43"/>
        <v>68099.342000000004</v>
      </c>
      <c r="F65" s="69">
        <f t="shared" ca="1" si="38"/>
        <v>0.43075795066993255</v>
      </c>
      <c r="G65" s="34">
        <f t="shared" ca="1" si="39"/>
        <v>60218.342000000004</v>
      </c>
      <c r="H65" s="107">
        <f t="shared" ca="1" si="40"/>
        <v>0.40089196457636522</v>
      </c>
      <c r="I65" s="149">
        <f t="shared" ca="1" si="41"/>
        <v>0.10595462121796928</v>
      </c>
      <c r="J65" s="137">
        <f>17.56%+3.89%+3.19%+4.78%</f>
        <v>0.29419999999999996</v>
      </c>
      <c r="K65" s="95">
        <f t="shared" si="42"/>
        <v>0.29493734335839594</v>
      </c>
      <c r="S65" s="6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</row>
    <row r="66" spans="4:33" ht="12.75">
      <c r="D66" s="82" t="str">
        <f t="shared" ref="D66:E66" si="44">D55</f>
        <v>Healthcare</v>
      </c>
      <c r="E66" s="22">
        <f t="shared" ca="1" si="44"/>
        <v>31796.43</v>
      </c>
      <c r="F66" s="69">
        <f t="shared" ca="1" si="38"/>
        <v>0.20112624620396424</v>
      </c>
      <c r="G66" s="34">
        <f t="shared" ca="1" si="39"/>
        <v>31796.43</v>
      </c>
      <c r="H66" s="107">
        <f t="shared" ca="1" si="40"/>
        <v>0.21167858273505563</v>
      </c>
      <c r="I66" s="149">
        <f t="shared" ca="1" si="41"/>
        <v>5.6991865943075676E-2</v>
      </c>
      <c r="J66" s="137">
        <f>15.43%</f>
        <v>0.15429999999999999</v>
      </c>
      <c r="K66" s="95">
        <f t="shared" si="42"/>
        <v>0.15468671679197996</v>
      </c>
      <c r="S66" s="6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</row>
    <row r="67" spans="4:33" ht="12.75">
      <c r="D67" s="82" t="str">
        <f t="shared" ref="D67:E67" si="45">D56</f>
        <v>TMT</v>
      </c>
      <c r="E67" s="22">
        <f t="shared" ca="1" si="45"/>
        <v>12078.599999999999</v>
      </c>
      <c r="F67" s="69">
        <f t="shared" ca="1" si="38"/>
        <v>7.6402397294262347E-2</v>
      </c>
      <c r="G67" s="34">
        <f t="shared" ca="1" si="39"/>
        <v>12078.599999999999</v>
      </c>
      <c r="H67" s="107">
        <f t="shared" ca="1" si="40"/>
        <v>8.0410943285885952E-2</v>
      </c>
      <c r="I67" s="149">
        <f t="shared" ca="1" si="41"/>
        <v>-9.4125397566244398E-2</v>
      </c>
      <c r="J67" s="137">
        <f>14.85%+2.56%</f>
        <v>0.1741</v>
      </c>
      <c r="K67" s="95">
        <f t="shared" si="42"/>
        <v>0.17453634085213035</v>
      </c>
      <c r="S67" s="6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</row>
    <row r="68" spans="4:33" ht="12.75">
      <c r="D68" s="116" t="str">
        <f t="shared" ref="D68:E68" si="46">D57</f>
        <v>Financial</v>
      </c>
      <c r="E68" s="76">
        <f t="shared" ca="1" si="46"/>
        <v>46117.525999999998</v>
      </c>
      <c r="F68" s="78">
        <f t="shared" ca="1" si="38"/>
        <v>0.29171340583184091</v>
      </c>
      <c r="G68" s="150">
        <f t="shared" ca="1" si="39"/>
        <v>46117.525999999998</v>
      </c>
      <c r="H68" s="151">
        <f t="shared" ca="1" si="40"/>
        <v>0.30701850940269326</v>
      </c>
      <c r="I68" s="152">
        <f t="shared" ca="1" si="41"/>
        <v>5.5188935467856193E-2</v>
      </c>
      <c r="J68" s="153">
        <f>19.16%+5.96%</f>
        <v>0.25119999999999998</v>
      </c>
      <c r="K68" s="119">
        <f t="shared" si="42"/>
        <v>0.25182957393483707</v>
      </c>
      <c r="S68" s="6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</row>
    <row r="69" spans="4:33" ht="12.75">
      <c r="D69" s="100" t="s">
        <v>65</v>
      </c>
      <c r="E69" s="101">
        <f t="shared" ref="E69:H69" ca="1" si="47">SUM(E64:E68)</f>
        <v>158091.89799999999</v>
      </c>
      <c r="F69" s="102">
        <f t="shared" ca="1" si="47"/>
        <v>1</v>
      </c>
      <c r="G69" s="101">
        <f t="shared" ca="1" si="47"/>
        <v>150210.89799999999</v>
      </c>
      <c r="H69" s="103">
        <f t="shared" ca="1" si="47"/>
        <v>1</v>
      </c>
      <c r="I69" s="102"/>
      <c r="J69" s="103">
        <f t="shared" ref="J69:K69" si="48">SUM(J64:J68)</f>
        <v>0.99749999999999994</v>
      </c>
      <c r="K69" s="124">
        <f t="shared" si="48"/>
        <v>1</v>
      </c>
      <c r="S69" s="6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</row>
    <row r="70" spans="4:33" ht="12.75">
      <c r="D70" s="6"/>
      <c r="E70" s="6"/>
      <c r="F70" s="104" t="s">
        <v>141</v>
      </c>
      <c r="G70" s="22">
        <f ca="1">G69-E69</f>
        <v>-7881</v>
      </c>
      <c r="H70" s="6"/>
      <c r="I70" s="125" t="s">
        <v>116</v>
      </c>
      <c r="J70" s="6"/>
      <c r="K70" s="6"/>
      <c r="S70" s="6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</row>
    <row r="71" spans="4:33" ht="12.75">
      <c r="I71" s="125" t="s">
        <v>117</v>
      </c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</row>
    <row r="72" spans="4:33" ht="12.75"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</row>
    <row r="73" spans="4:33" ht="12.75"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</row>
    <row r="74" spans="4:33" ht="12.75"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</row>
    <row r="75" spans="4:33" ht="12.75"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</row>
    <row r="76" spans="4:33" ht="12.75"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</row>
    <row r="77" spans="4:33" ht="12.75"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</row>
    <row r="78" spans="4:33" ht="12.75"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</row>
    <row r="79" spans="4:33" ht="12.75"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</row>
    <row r="80" spans="4:33" ht="12.75"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</row>
    <row r="81" spans="20:33" ht="12.75"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</row>
    <row r="82" spans="20:33" ht="12.75"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</row>
    <row r="83" spans="20:33" ht="12.75"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</row>
    <row r="84" spans="20:33" ht="12.75"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</row>
  </sheetData>
  <autoFilter ref="A1:R19" xr:uid="{00000000-0009-0000-0000-000001000000}"/>
  <conditionalFormatting sqref="M2:M14 L2:L18">
    <cfRule type="cellIs" dxfId="2" priority="2" operator="greaterThan">
      <formula>0.05</formula>
    </cfRule>
    <cfRule type="cellIs" dxfId="1" priority="3" operator="lessThan">
      <formula>0.005</formula>
    </cfRule>
  </conditionalFormatting>
  <conditionalFormatting sqref="Q2:Q14">
    <cfRule type="cellIs" dxfId="0" priority="1" operator="notBetween">
      <formula>0.3</formula>
      <formula>-0.3</formula>
    </cfRule>
  </conditionalFormatting>
  <dataValidations count="1">
    <dataValidation type="list" allowBlank="1" showErrorMessage="1" sqref="D24:D27 D30:D33" xr:uid="{00000000-0002-0000-0100-000000000000}">
      <formula1>"TMT,Consumer,Financial,Healthcare,IME"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980"/>
  <sheetViews>
    <sheetView workbookViewId="0"/>
  </sheetViews>
  <sheetFormatPr defaultColWidth="12.59765625" defaultRowHeight="15.75" customHeight="1"/>
  <cols>
    <col min="1" max="1" width="13.86328125" customWidth="1"/>
    <col min="2" max="2" width="29.59765625" customWidth="1"/>
    <col min="9" max="9" width="13.86328125" customWidth="1"/>
  </cols>
  <sheetData>
    <row r="1" spans="1:10" ht="15.75" customHeight="1">
      <c r="A1" s="154" t="s">
        <v>71</v>
      </c>
      <c r="B1" s="3" t="s">
        <v>1</v>
      </c>
      <c r="C1" s="3" t="s">
        <v>2</v>
      </c>
      <c r="D1" s="3" t="s">
        <v>3</v>
      </c>
      <c r="E1" s="3" t="s">
        <v>4</v>
      </c>
      <c r="F1" s="93" t="s">
        <v>5</v>
      </c>
      <c r="G1" s="155" t="s">
        <v>142</v>
      </c>
      <c r="H1" s="156"/>
      <c r="I1" s="156"/>
      <c r="J1" s="156"/>
    </row>
    <row r="2" spans="1:10" ht="15.75" customHeight="1">
      <c r="A2" s="28" t="s">
        <v>18</v>
      </c>
      <c r="B2" s="129" t="str">
        <f ca="1">IFERROR(__xludf.DUMMYFUNCTION("GOOGLEFINANCE(C2,""Name"")"),"Alphabet Inc Class A")</f>
        <v>Alphabet Inc Class A</v>
      </c>
      <c r="C2" s="28" t="s">
        <v>44</v>
      </c>
      <c r="D2" s="20">
        <f>SUMIF('Tall Firs'!$D$8:$D$36,C2,'Tall Firs'!$E$8:$E$36)+SUMIF('Alumni Fund'!$D$2:$D$17,C2,'Alumni Fund'!$E$2:$E$17)</f>
        <v>586.22320000000002</v>
      </c>
      <c r="E2" s="22">
        <f ca="1">IFERROR(__xludf.DUMMYFUNCTION("GOOGLEFINANCE(C2,""price"")"),337.39)</f>
        <v>337.39</v>
      </c>
      <c r="F2" s="22">
        <f t="shared" ref="F2:F42" ca="1" si="0">E2*D2</f>
        <v>197785.84544800001</v>
      </c>
      <c r="G2" s="15" t="e">
        <f t="shared" ref="G2:G44" ca="1" si="1">F2/$F$44</f>
        <v>#VALUE!</v>
      </c>
      <c r="H2" s="28"/>
    </row>
    <row r="3" spans="1:10" ht="15.75" customHeight="1">
      <c r="A3" s="28" t="s">
        <v>18</v>
      </c>
      <c r="B3" s="129" t="str">
        <f ca="1">IFERROR(__xludf.DUMMYFUNCTION("GOOGLEFINANCE(C3,""Name"")"),"Cisco Systems Inc")</f>
        <v>Cisco Systems Inc</v>
      </c>
      <c r="C3" s="28" t="s">
        <v>32</v>
      </c>
      <c r="D3" s="20">
        <f>SUMIF('Tall Firs'!$D$8:$D$36,C3,'Tall Firs'!$E$8:$E$36)+SUMIF('Alumni Fund'!$D$2:$D$17,C3,'Alumni Fund'!$E$2:$E$17)</f>
        <v>670.46389999999997</v>
      </c>
      <c r="E3" s="22">
        <f ca="1">IFERROR(__xludf.DUMMYFUNCTION("GOOGLEFINANCE(C3,""price"")"),113.77)</f>
        <v>113.77</v>
      </c>
      <c r="F3" s="22">
        <f t="shared" ca="1" si="0"/>
        <v>76278.677902999989</v>
      </c>
      <c r="G3" s="15" t="e">
        <f t="shared" ca="1" si="1"/>
        <v>#VALUE!</v>
      </c>
      <c r="H3" s="28"/>
    </row>
    <row r="4" spans="1:10" ht="15.75" customHeight="1">
      <c r="A4" s="28" t="s">
        <v>27</v>
      </c>
      <c r="B4" s="129" t="str">
        <f ca="1">IFERROR(__xludf.DUMMYFUNCTION("GOOGLEFINANCE(C4,""Name"")"),"Citigroup Inc")</f>
        <v>Citigroup Inc</v>
      </c>
      <c r="C4" s="28" t="s">
        <v>29</v>
      </c>
      <c r="D4" s="20">
        <f>SUMIF('Tall Firs'!$D$8:$D$36,C4,'Tall Firs'!$E$8:$E$36)+SUMIF('Alumni Fund'!$D$2:$D$17,C4,'Alumni Fund'!$E$2:$E$17)</f>
        <v>1001.5848999999999</v>
      </c>
      <c r="E4" s="22">
        <f ca="1">IFERROR(__xludf.DUMMYFUNCTION("GOOGLEFINANCE(C4,""price"")"),141.76)</f>
        <v>141.76</v>
      </c>
      <c r="F4" s="22">
        <f t="shared" ca="1" si="0"/>
        <v>141984.67542399999</v>
      </c>
      <c r="G4" s="15" t="e">
        <f t="shared" ca="1" si="1"/>
        <v>#VALUE!</v>
      </c>
      <c r="H4" s="28"/>
    </row>
    <row r="5" spans="1:10" ht="15.75" customHeight="1">
      <c r="A5" s="28" t="s">
        <v>22</v>
      </c>
      <c r="B5" s="129" t="str">
        <f ca="1">IFERROR(__xludf.DUMMYFUNCTION("GOOGLEFINANCE(C5,""Name"")"),"Amazon.com Inc")</f>
        <v>Amazon.com Inc</v>
      </c>
      <c r="C5" s="28" t="s">
        <v>23</v>
      </c>
      <c r="D5" s="20">
        <f>SUMIF('Tall Firs'!$D$8:$D$36,C5,'Tall Firs'!$E$8:$E$36)+SUMIF('Alumni Fund'!$D$2:$D$17,C5,'Alumni Fund'!$E$2:$E$17)</f>
        <v>0</v>
      </c>
      <c r="E5" s="22">
        <f ca="1">IFERROR(__xludf.DUMMYFUNCTION("GOOGLEFINANCE(C5,""price"")"),232.69)</f>
        <v>232.69</v>
      </c>
      <c r="F5" s="22">
        <f t="shared" ca="1" si="0"/>
        <v>0</v>
      </c>
      <c r="G5" s="15" t="e">
        <f t="shared" ca="1" si="1"/>
        <v>#VALUE!</v>
      </c>
      <c r="H5" s="28"/>
    </row>
    <row r="6" spans="1:10" ht="15.75" customHeight="1">
      <c r="A6" s="28" t="s">
        <v>18</v>
      </c>
      <c r="B6" s="129" t="str">
        <f ca="1">IFERROR(__xludf.DUMMYFUNCTION("GOOGLEFINANCE(C6,""Name"")"),"Apple Inc")</f>
        <v>Apple Inc</v>
      </c>
      <c r="C6" s="28" t="s">
        <v>19</v>
      </c>
      <c r="D6" s="20">
        <f>SUMIF('Tall Firs'!$D$8:$D$36,C6,'Tall Firs'!$E$8:$E$36)+SUMIF('Alumni Fund'!$D$2:$D$17,C6,'Alumni Fund'!$E$2:$E$17)</f>
        <v>0</v>
      </c>
      <c r="E6" s="22">
        <f ca="1">IFERROR(__xludf.DUMMYFUNCTION("GOOGLEFINANCE(C6,""price"")"),283.78)</f>
        <v>283.77999999999997</v>
      </c>
      <c r="F6" s="22">
        <f t="shared" ca="1" si="0"/>
        <v>0</v>
      </c>
      <c r="G6" s="15" t="e">
        <f t="shared" ca="1" si="1"/>
        <v>#VALUE!</v>
      </c>
      <c r="H6" s="28"/>
    </row>
    <row r="7" spans="1:10" ht="15.75" customHeight="1">
      <c r="A7" s="28" t="s">
        <v>34</v>
      </c>
      <c r="B7" s="129" t="str">
        <f ca="1">IFERROR(__xludf.DUMMYFUNCTION("GOOGLEFINANCE(C7,""Name"")"),"Universal Health Services Inc")</f>
        <v>Universal Health Services Inc</v>
      </c>
      <c r="C7" s="28" t="s">
        <v>58</v>
      </c>
      <c r="D7" s="20">
        <f>SUMIF('Tall Firs'!$D$8:$D$36,C7,'Tall Firs'!$E$8:$E$36)+SUMIF('Alumni Fund'!$D$2:$D$17,C7,'Alumni Fund'!$E$2:$E$17)</f>
        <v>281.50380000000001</v>
      </c>
      <c r="E7" s="22">
        <f ca="1">IFERROR(__xludf.DUMMYFUNCTION("GOOGLEFINANCE(C7,""price"")"),145.69)</f>
        <v>145.69</v>
      </c>
      <c r="F7" s="22">
        <f t="shared" ca="1" si="0"/>
        <v>41012.288622</v>
      </c>
      <c r="G7" s="15" t="e">
        <f t="shared" ca="1" si="1"/>
        <v>#VALUE!</v>
      </c>
      <c r="H7" s="28"/>
    </row>
    <row r="8" spans="1:10" ht="15.75" customHeight="1">
      <c r="A8" s="28" t="s">
        <v>30</v>
      </c>
      <c r="B8" s="129" t="str">
        <f ca="1">IFERROR(__xludf.DUMMYFUNCTION("GOOGLEFINANCE(C8,""Name"")"),"Rtx Corp")</f>
        <v>Rtx Corp</v>
      </c>
      <c r="C8" s="28" t="s">
        <v>143</v>
      </c>
      <c r="D8" s="20">
        <f>SUMIF('Tall Firs'!$D$8:$D$36,C8,'Tall Firs'!$E$8:$E$36)+SUMIF('Alumni Fund'!$D$2:$D$17,C8,'Alumni Fund'!$E$2:$E$17)</f>
        <v>0</v>
      </c>
      <c r="E8" s="22">
        <f ca="1">IFERROR(__xludf.DUMMYFUNCTION("GOOGLEFINANCE(C8,""price"")"),187.99)</f>
        <v>187.99</v>
      </c>
      <c r="F8" s="22">
        <f t="shared" ca="1" si="0"/>
        <v>0</v>
      </c>
      <c r="G8" s="15" t="e">
        <f t="shared" ca="1" si="1"/>
        <v>#VALUE!</v>
      </c>
      <c r="H8" s="28"/>
    </row>
    <row r="9" spans="1:10" ht="15.75" customHeight="1">
      <c r="A9" s="28" t="s">
        <v>27</v>
      </c>
      <c r="B9" s="129" t="str">
        <f ca="1">IFERROR(__xludf.DUMMYFUNCTION("GOOGLEFINANCE(C9,""Name"")"),"Berkshire Hathaway Inc Class B")</f>
        <v>Berkshire Hathaway Inc Class B</v>
      </c>
      <c r="C9" s="28" t="s">
        <v>28</v>
      </c>
      <c r="D9" s="20">
        <f>SUMIF('Tall Firs'!$D$8:$D$36,C9,'Tall Firs'!$E$8:$E$36)+SUMIF('Alumni Fund'!$D$2:$D$17,C9,'Alumni Fund'!$E$2:$E$17)</f>
        <v>96</v>
      </c>
      <c r="E9" s="22">
        <f ca="1">IFERROR(__xludf.DUMMYFUNCTION("GOOGLEFINANCE(C9,""price"")"),498.66)</f>
        <v>498.66</v>
      </c>
      <c r="F9" s="22">
        <f t="shared" ca="1" si="0"/>
        <v>47871.360000000001</v>
      </c>
      <c r="G9" s="15" t="e">
        <f t="shared" ca="1" si="1"/>
        <v>#VALUE!</v>
      </c>
      <c r="H9" s="28"/>
    </row>
    <row r="10" spans="1:10" ht="15.75" customHeight="1">
      <c r="A10" s="28" t="s">
        <v>18</v>
      </c>
      <c r="B10" s="129" t="str">
        <f ca="1">IFERROR(__xludf.DUMMYFUNCTION("GOOGLEFINANCE(C10,""Name"")"),"Micron Technology Inc")</f>
        <v>Micron Technology Inc</v>
      </c>
      <c r="C10" s="28" t="s">
        <v>144</v>
      </c>
      <c r="D10" s="20">
        <f>SUMIF('Tall Firs'!$D$8:$D$36,C10,'Tall Firs'!$E$8:$E$36)+SUMIF('Alumni Fund'!$D$2:$D$17,C10,'Alumni Fund'!$E$2:$E$17)</f>
        <v>0</v>
      </c>
      <c r="E10" s="22">
        <f ca="1">IFERROR(__xludf.DUMMYFUNCTION("GOOGLEFINANCE(C10,""price"")"),1132.33)</f>
        <v>1132.33</v>
      </c>
      <c r="F10" s="22">
        <f t="shared" ca="1" si="0"/>
        <v>0</v>
      </c>
      <c r="G10" s="15" t="e">
        <f t="shared" ca="1" si="1"/>
        <v>#VALUE!</v>
      </c>
      <c r="H10" s="28"/>
    </row>
    <row r="11" spans="1:10" ht="15.75" customHeight="1">
      <c r="A11" s="28" t="s">
        <v>27</v>
      </c>
      <c r="B11" s="129" t="str">
        <f ca="1">IFERROR(__xludf.DUMMYFUNCTION("GOOGLEFINANCE(C11,""Name"")"),"Evercore Inc")</f>
        <v>Evercore Inc</v>
      </c>
      <c r="C11" s="28" t="s">
        <v>40</v>
      </c>
      <c r="D11" s="20">
        <f>SUMIF('Tall Firs'!$D$8:$D$36,C11,'Tall Firs'!$E$8:$E$36)+SUMIF('Alumni Fund'!$D$2:$D$17,C11,'Alumni Fund'!$E$2:$E$17)</f>
        <v>241.60990000000001</v>
      </c>
      <c r="E11" s="22">
        <f ca="1">IFERROR(__xludf.DUMMYFUNCTION("GOOGLEFINANCE(C11,""price"")"),342.02)</f>
        <v>342.02</v>
      </c>
      <c r="F11" s="22">
        <f t="shared" ca="1" si="0"/>
        <v>82635.417998000004</v>
      </c>
      <c r="G11" s="15" t="e">
        <f t="shared" ca="1" si="1"/>
        <v>#VALUE!</v>
      </c>
      <c r="H11" s="28"/>
    </row>
    <row r="12" spans="1:10" ht="15.75" customHeight="1">
      <c r="A12" s="28" t="s">
        <v>18</v>
      </c>
      <c r="B12" s="129" t="str">
        <f ca="1">IFERROR(__xludf.DUMMYFUNCTION("GOOGLEFINANCE(C12,""Name"")"),"PayPal Holdings Inc")</f>
        <v>PayPal Holdings Inc</v>
      </c>
      <c r="C12" s="28" t="s">
        <v>145</v>
      </c>
      <c r="D12" s="20">
        <f>SUMIF('Tall Firs'!$D$8:$D$36,C12,'Tall Firs'!$E$8:$E$36)+SUMIF('Alumni Fund'!$D$2:$D$17,C12,'Alumni Fund'!$E$2:$E$17)</f>
        <v>0</v>
      </c>
      <c r="E12" s="22">
        <f ca="1">IFERROR(__xludf.DUMMYFUNCTION("GOOGLEFINANCE(C12,""price"")"),44.29)</f>
        <v>44.29</v>
      </c>
      <c r="F12" s="22">
        <f t="shared" ca="1" si="0"/>
        <v>0</v>
      </c>
      <c r="G12" s="15" t="e">
        <f t="shared" ca="1" si="1"/>
        <v>#VALUE!</v>
      </c>
      <c r="H12" s="28"/>
    </row>
    <row r="13" spans="1:10" ht="15.75" customHeight="1">
      <c r="A13" s="28" t="s">
        <v>18</v>
      </c>
      <c r="B13" s="129" t="str">
        <f ca="1">IFERROR(__xludf.DUMMYFUNCTION("GOOGLEFINANCE(C13,""Name"")"),"VMware Class A Ord Shs")</f>
        <v>VMware Class A Ord Shs</v>
      </c>
      <c r="C13" s="28" t="s">
        <v>146</v>
      </c>
      <c r="D13" s="20">
        <f>SUMIF('Tall Firs'!$D$8:$D$36,C13,'Tall Firs'!$E$8:$E$36)+SUMIF('Alumni Fund'!$D$2:$D$17,C13,'Alumni Fund'!$E$2:$E$17)</f>
        <v>0</v>
      </c>
      <c r="E13" s="22">
        <f ca="1">IFERROR(__xludf.DUMMYFUNCTION("GOOGLEFINANCE(C13,""price"")"),0)</f>
        <v>0</v>
      </c>
      <c r="F13" s="22">
        <f t="shared" ca="1" si="0"/>
        <v>0</v>
      </c>
      <c r="G13" s="15" t="e">
        <f t="shared" ca="1" si="1"/>
        <v>#VALUE!</v>
      </c>
      <c r="H13" s="28"/>
    </row>
    <row r="14" spans="1:10" ht="15.75" customHeight="1">
      <c r="A14" s="28" t="s">
        <v>18</v>
      </c>
      <c r="B14" s="129" t="str">
        <f ca="1">IFERROR(__xludf.DUMMYFUNCTION("GOOGLEFINANCE(C14,""Name"")"),"Walt Disney Co")</f>
        <v>Walt Disney Co</v>
      </c>
      <c r="C14" s="28" t="s">
        <v>147</v>
      </c>
      <c r="D14" s="20">
        <f>SUMIF('Tall Firs'!$D$8:$D$36,C14,'Tall Firs'!$E$8:$E$36)+SUMIF('Alumni Fund'!$D$2:$D$17,C14,'Alumni Fund'!$E$2:$E$17)</f>
        <v>0</v>
      </c>
      <c r="E14" s="22">
        <f ca="1">IFERROR(__xludf.DUMMYFUNCTION("GOOGLEFINANCE(C14,""price"")"),98.79)</f>
        <v>98.79</v>
      </c>
      <c r="F14" s="22">
        <f t="shared" ca="1" si="0"/>
        <v>0</v>
      </c>
      <c r="G14" s="15" t="e">
        <f t="shared" ca="1" si="1"/>
        <v>#VALUE!</v>
      </c>
      <c r="H14" s="28"/>
    </row>
    <row r="15" spans="1:10" ht="15.75" customHeight="1">
      <c r="A15" s="28" t="s">
        <v>30</v>
      </c>
      <c r="B15" s="129" t="str">
        <f ca="1">IFERROR(__xludf.DUMMYFUNCTION("GOOGLEFINANCE(C15,""Name"")"),"MillerKnoll Inc")</f>
        <v>MillerKnoll Inc</v>
      </c>
      <c r="C15" s="28" t="s">
        <v>148</v>
      </c>
      <c r="D15" s="20">
        <f>SUMIF('Tall Firs'!$D$8:$D$36,C15,'Tall Firs'!$E$8:$E$36)+SUMIF('Alumni Fund'!$D$2:$D$17,C15,'Alumni Fund'!$E$2:$E$17)</f>
        <v>0</v>
      </c>
      <c r="E15" s="22">
        <f ca="1">IFERROR(__xludf.DUMMYFUNCTION("GOOGLEFINANCE(C15,""price"")"),19.96)</f>
        <v>19.96</v>
      </c>
      <c r="F15" s="22">
        <f t="shared" ca="1" si="0"/>
        <v>0</v>
      </c>
      <c r="G15" s="15" t="e">
        <f t="shared" ca="1" si="1"/>
        <v>#VALUE!</v>
      </c>
      <c r="H15" s="28"/>
    </row>
    <row r="16" spans="1:10" ht="15.75" customHeight="1">
      <c r="A16" s="28" t="s">
        <v>34</v>
      </c>
      <c r="B16" s="129" t="str">
        <f ca="1">IFERROR(__xludf.DUMMYFUNCTION("GOOGLEFINANCE(C16,""Name"")"),"Pfizer Inc")</f>
        <v>Pfizer Inc</v>
      </c>
      <c r="C16" s="28" t="s">
        <v>52</v>
      </c>
      <c r="D16" s="20">
        <f>SUMIF('Tall Firs'!$D$8:$D$36,C16,'Tall Firs'!$E$8:$E$36)+SUMIF('Alumni Fund'!$D$2:$D$17,C16,'Alumni Fund'!$E$2:$E$17)</f>
        <v>908.80859999999996</v>
      </c>
      <c r="E16" s="22">
        <f ca="1">IFERROR(__xludf.DUMMYFUNCTION("GOOGLEFINANCE(C16,""price"")"),24.29)</f>
        <v>24.29</v>
      </c>
      <c r="F16" s="22">
        <f t="shared" ca="1" si="0"/>
        <v>22074.960894</v>
      </c>
      <c r="G16" s="15" t="e">
        <f t="shared" ca="1" si="1"/>
        <v>#VALUE!</v>
      </c>
      <c r="H16" s="28"/>
    </row>
    <row r="17" spans="1:8" ht="15.75" customHeight="1">
      <c r="A17" s="28" t="s">
        <v>34</v>
      </c>
      <c r="B17" s="129" t="str">
        <f ca="1">IFERROR(__xludf.DUMMYFUNCTION("GOOGLEFINANCE(C17,""Name"")"),"Walgreen Boots Alliance Ord Shs")</f>
        <v>Walgreen Boots Alliance Ord Shs</v>
      </c>
      <c r="C17" s="28" t="s">
        <v>149</v>
      </c>
      <c r="D17" s="20">
        <f>SUMIF('Tall Firs'!$D$8:$D$36,C17,'Tall Firs'!$E$8:$E$36)+SUMIF('Alumni Fund'!$D$2:$D$17,C17,'Alumni Fund'!$E$2:$E$17)</f>
        <v>0</v>
      </c>
      <c r="E17" s="22">
        <f ca="1">IFERROR(__xludf.DUMMYFUNCTION("GOOGLEFINANCE(C17,""price"")"),222)</f>
        <v>222</v>
      </c>
      <c r="F17" s="22">
        <f t="shared" ca="1" si="0"/>
        <v>0</v>
      </c>
      <c r="G17" s="15" t="e">
        <f t="shared" ca="1" si="1"/>
        <v>#VALUE!</v>
      </c>
      <c r="H17" s="28"/>
    </row>
    <row r="18" spans="1:8" ht="15.75" customHeight="1">
      <c r="A18" s="28" t="s">
        <v>18</v>
      </c>
      <c r="B18" s="129" t="str">
        <f ca="1">IFERROR(__xludf.DUMMYFUNCTION("GOOGLEFINANCE(C18,""Name"")"),"Visa Inc")</f>
        <v>Visa Inc</v>
      </c>
      <c r="C18" s="28" t="s">
        <v>150</v>
      </c>
      <c r="D18" s="20">
        <f>SUMIF('Tall Firs'!$D$8:$D$36,C18,'Tall Firs'!$E$8:$E$36)+SUMIF('Alumni Fund'!$D$2:$D$17,C18,'Alumni Fund'!$E$2:$E$17)</f>
        <v>0</v>
      </c>
      <c r="E18" s="22">
        <f ca="1">IFERROR(__xludf.DUMMYFUNCTION("GOOGLEFINANCE(C18,""price"")"),336.23)</f>
        <v>336.23</v>
      </c>
      <c r="F18" s="22">
        <f t="shared" ca="1" si="0"/>
        <v>0</v>
      </c>
      <c r="G18" s="15" t="e">
        <f t="shared" ca="1" si="1"/>
        <v>#VALUE!</v>
      </c>
      <c r="H18" s="28"/>
    </row>
    <row r="19" spans="1:8" ht="15.75" customHeight="1">
      <c r="A19" s="28" t="s">
        <v>27</v>
      </c>
      <c r="B19" s="129" t="str">
        <f ca="1">IFERROR(__xludf.DUMMYFUNCTION("GOOGLEFINANCE(C19,""Name"")"),"#N/A")</f>
        <v>#N/A</v>
      </c>
      <c r="C19" s="28" t="s">
        <v>151</v>
      </c>
      <c r="D19" s="20">
        <f>SUMIF('Tall Firs'!$D$8:$D$36,C19,'Tall Firs'!$E$8:$E$36)+SUMIF('Alumni Fund'!$D$2:$D$17,C19,'Alumni Fund'!$E$2:$E$17)</f>
        <v>0</v>
      </c>
      <c r="E19" s="22" t="str">
        <f ca="1">IFERROR(__xludf.DUMMYFUNCTION("GOOGLEFINANCE(C19,""price"")"),"#N/A")</f>
        <v>#N/A</v>
      </c>
      <c r="F19" s="28" t="e">
        <f t="shared" ca="1" si="0"/>
        <v>#VALUE!</v>
      </c>
      <c r="G19" s="15" t="e">
        <f t="shared" ca="1" si="1"/>
        <v>#VALUE!</v>
      </c>
      <c r="H19" s="28"/>
    </row>
    <row r="20" spans="1:8" ht="15.75" customHeight="1">
      <c r="A20" s="28" t="s">
        <v>22</v>
      </c>
      <c r="B20" s="129" t="str">
        <f ca="1">IFERROR(__xludf.DUMMYFUNCTION("GOOGLEFINANCE(C20,""Name"")"),"LKQ Corp")</f>
        <v>LKQ Corp</v>
      </c>
      <c r="C20" s="28" t="s">
        <v>152</v>
      </c>
      <c r="D20" s="20">
        <f>SUMIF('Tall Firs'!$D$8:$D$36,C20,'Tall Firs'!$E$8:$E$36)+SUMIF('Alumni Fund'!$D$2:$D$17,C20,'Alumni Fund'!$E$2:$E$17)</f>
        <v>0</v>
      </c>
      <c r="E20" s="22">
        <f ca="1">IFERROR(__xludf.DUMMYFUNCTION("GOOGLEFINANCE(C20,""price"")"),27.03)</f>
        <v>27.03</v>
      </c>
      <c r="F20" s="22">
        <f t="shared" ca="1" si="0"/>
        <v>0</v>
      </c>
      <c r="G20" s="15" t="e">
        <f t="shared" ca="1" si="1"/>
        <v>#VALUE!</v>
      </c>
      <c r="H20" s="28"/>
    </row>
    <row r="21" spans="1:8" ht="15.75" customHeight="1">
      <c r="A21" s="28" t="s">
        <v>18</v>
      </c>
      <c r="B21" s="129" t="str">
        <f ca="1">IFERROR(__xludf.DUMMYFUNCTION("GOOGLEFINANCE(C21,""Name"")"),"Teradyne Inc")</f>
        <v>Teradyne Inc</v>
      </c>
      <c r="C21" s="28" t="s">
        <v>153</v>
      </c>
      <c r="D21" s="20">
        <f>SUMIF('Tall Firs'!$D$8:$D$36,C21,'Tall Firs'!$E$8:$E$36)+SUMIF('Alumni Fund'!$D$2:$D$17,C21,'Alumni Fund'!$E$2:$E$17)</f>
        <v>0</v>
      </c>
      <c r="E21" s="22">
        <f ca="1">IFERROR(__xludf.DUMMYFUNCTION("GOOGLEFINANCE(C21,""price"")"),436.86)</f>
        <v>436.86</v>
      </c>
      <c r="F21" s="22">
        <f t="shared" ca="1" si="0"/>
        <v>0</v>
      </c>
      <c r="G21" s="15" t="e">
        <f t="shared" ca="1" si="1"/>
        <v>#VALUE!</v>
      </c>
      <c r="H21" s="28"/>
    </row>
    <row r="22" spans="1:8" ht="15.75" customHeight="1">
      <c r="A22" s="28" t="s">
        <v>34</v>
      </c>
      <c r="B22" s="129" t="str">
        <f ca="1">IFERROR(__xludf.DUMMYFUNCTION("GOOGLEFINANCE(C22,""Name"")"),"Regeneron Pharmaceuticals Inc")</f>
        <v>Regeneron Pharmaceuticals Inc</v>
      </c>
      <c r="C22" s="28" t="s">
        <v>53</v>
      </c>
      <c r="D22" s="20">
        <f>SUMIF('Tall Firs'!$D$8:$D$36,C22,'Tall Firs'!$E$8:$E$36)+SUMIF('Alumni Fund'!$D$2:$D$17,C22,'Alumni Fund'!$E$2:$E$17)</f>
        <v>25.145800000000001</v>
      </c>
      <c r="E22" s="22">
        <f ca="1">IFERROR(__xludf.DUMMYFUNCTION("GOOGLEFINANCE(C22,""price"")"),632.9)</f>
        <v>632.9</v>
      </c>
      <c r="F22" s="22">
        <f t="shared" ca="1" si="0"/>
        <v>15914.776820000001</v>
      </c>
      <c r="G22" s="15" t="e">
        <f t="shared" ca="1" si="1"/>
        <v>#VALUE!</v>
      </c>
      <c r="H22" s="28"/>
    </row>
    <row r="23" spans="1:8" ht="15.75" customHeight="1">
      <c r="A23" s="28" t="s">
        <v>30</v>
      </c>
      <c r="B23" s="129" t="str">
        <f ca="1">IFERROR(__xludf.DUMMYFUNCTION("GOOGLEFINANCE(C23,""Name"")"),"WRKR Ltd")</f>
        <v>WRKR Ltd</v>
      </c>
      <c r="C23" s="28" t="s">
        <v>88</v>
      </c>
      <c r="D23" s="20">
        <f>SUMIF('Tall Firs'!$D$8:$D$36,C23,'Tall Firs'!$E$8:$E$36)+SUMIF('Alumni Fund'!$D$2:$D$17,C23,'Alumni Fund'!$E$2:$E$17)</f>
        <v>0</v>
      </c>
      <c r="E23" s="22">
        <f ca="1">IFERROR(__xludf.DUMMYFUNCTION("GOOGLEFINANCE(C23,""price"")"),0.09)</f>
        <v>0.09</v>
      </c>
      <c r="F23" s="22">
        <f t="shared" ca="1" si="0"/>
        <v>0</v>
      </c>
      <c r="G23" s="15" t="e">
        <f t="shared" ca="1" si="1"/>
        <v>#VALUE!</v>
      </c>
      <c r="H23" s="28"/>
    </row>
    <row r="24" spans="1:8" ht="15.75" customHeight="1">
      <c r="A24" s="28" t="s">
        <v>22</v>
      </c>
      <c r="B24" s="129" t="str">
        <f ca="1">IFERROR(__xludf.DUMMYFUNCTION("GOOGLEFINANCE(C24,""Name"")"),"J.M. Smucker Co")</f>
        <v>J.M. Smucker Co</v>
      </c>
      <c r="C24" s="28" t="s">
        <v>54</v>
      </c>
      <c r="D24" s="20">
        <f>SUMIF('Tall Firs'!$D$8:$D$36,C24,'Tall Firs'!$E$8:$E$36)+SUMIF('Alumni Fund'!$D$2:$D$17,C24,'Alumni Fund'!$E$2:$E$17)</f>
        <v>306.93740000000003</v>
      </c>
      <c r="E24" s="22">
        <f ca="1">IFERROR(__xludf.DUMMYFUNCTION("GOOGLEFINANCE(C24,""price"")"),115.64)</f>
        <v>115.64</v>
      </c>
      <c r="F24" s="22">
        <f t="shared" ca="1" si="0"/>
        <v>35494.240936000002</v>
      </c>
      <c r="G24" s="15" t="e">
        <f t="shared" ca="1" si="1"/>
        <v>#VALUE!</v>
      </c>
      <c r="H24" s="28"/>
    </row>
    <row r="25" spans="1:8" ht="15.75" customHeight="1">
      <c r="A25" s="28" t="s">
        <v>27</v>
      </c>
      <c r="B25" s="129" t="str">
        <f ca="1">IFERROR(__xludf.DUMMYFUNCTION("GOOGLEFINANCE(C25,""Name"")"),"S&amp;P Global Inc")</f>
        <v>S&amp;P Global Inc</v>
      </c>
      <c r="C25" s="28" t="s">
        <v>55</v>
      </c>
      <c r="D25" s="20">
        <f>SUMIF('Tall Firs'!$D$8:$D$36,C25,'Tall Firs'!$E$8:$E$36)+SUMIF('Alumni Fund'!$D$2:$D$17,C25,'Alumni Fund'!$E$2:$E$17)</f>
        <v>95.890500000000003</v>
      </c>
      <c r="E25" s="22">
        <f ca="1">IFERROR(__xludf.DUMMYFUNCTION("GOOGLEFINANCE(C25,""price"")"),408.16)</f>
        <v>408.16</v>
      </c>
      <c r="F25" s="22">
        <f t="shared" ca="1" si="0"/>
        <v>39138.666480000007</v>
      </c>
      <c r="G25" s="15" t="e">
        <f t="shared" ca="1" si="1"/>
        <v>#VALUE!</v>
      </c>
      <c r="H25" s="28"/>
    </row>
    <row r="26" spans="1:8" ht="15.75" customHeight="1">
      <c r="A26" s="28" t="s">
        <v>30</v>
      </c>
      <c r="B26" s="129" t="str">
        <f ca="1">IFERROR(__xludf.DUMMYFUNCTION("GOOGLEFINANCE(C26,""Name"")"),"CACI INTERNATIONAL INC Common Stock")</f>
        <v>CACI INTERNATIONAL INC Common Stock</v>
      </c>
      <c r="C26" s="28" t="s">
        <v>31</v>
      </c>
      <c r="D26" s="20">
        <f>SUMIF('Tall Firs'!$D$8:$D$36,C26,'Tall Firs'!$E$8:$E$36)+SUMIF('Alumni Fund'!$D$2:$D$17,C26,'Alumni Fund'!$E$2:$E$17)</f>
        <v>124</v>
      </c>
      <c r="E26" s="22">
        <f ca="1">IFERROR(__xludf.DUMMYFUNCTION("GOOGLEFINANCE(C26,""price"")"),453.92)</f>
        <v>453.92</v>
      </c>
      <c r="F26" s="22">
        <f t="shared" ca="1" si="0"/>
        <v>56286.080000000002</v>
      </c>
      <c r="G26" s="15" t="e">
        <f t="shared" ca="1" si="1"/>
        <v>#VALUE!</v>
      </c>
      <c r="H26" s="28"/>
    </row>
    <row r="27" spans="1:8" ht="15.75" customHeight="1">
      <c r="A27" s="28" t="s">
        <v>18</v>
      </c>
      <c r="B27" s="129" t="str">
        <f ca="1">IFERROR(__xludf.DUMMYFUNCTION("GOOGLEFINANCE(C27,""Name"")"),"Solaredge Technologies Inc")</f>
        <v>Solaredge Technologies Inc</v>
      </c>
      <c r="C27" s="28" t="s">
        <v>154</v>
      </c>
      <c r="D27" s="20">
        <f>SUMIF('Tall Firs'!$D$8:$D$36,C27,'Tall Firs'!$E$8:$E$36)+SUMIF('Alumni Fund'!$D$2:$D$17,C27,'Alumni Fund'!$E$2:$E$17)</f>
        <v>0</v>
      </c>
      <c r="E27" s="22">
        <f ca="1">IFERROR(__xludf.DUMMYFUNCTION("GOOGLEFINANCE(C27,""price"")"),51.75)</f>
        <v>51.75</v>
      </c>
      <c r="F27" s="22">
        <f t="shared" ca="1" si="0"/>
        <v>0</v>
      </c>
      <c r="G27" s="15" t="e">
        <f t="shared" ca="1" si="1"/>
        <v>#VALUE!</v>
      </c>
    </row>
    <row r="28" spans="1:8" ht="15.75" customHeight="1">
      <c r="A28" s="28" t="s">
        <v>34</v>
      </c>
      <c r="B28" s="129" t="str">
        <f ca="1">IFERROR(__xludf.DUMMYFUNCTION("GOOGLEFINANCE(C28,""Name"")"),"McKesson Corp")</f>
        <v>McKesson Corp</v>
      </c>
      <c r="C28" s="28" t="s">
        <v>47</v>
      </c>
      <c r="D28" s="20">
        <f>SUMIF('Tall Firs'!$D$8:$D$36,C28,'Tall Firs'!$E$8:$E$36)+SUMIF('Alumni Fund'!$D$2:$D$17,C28,'Alumni Fund'!$E$2:$E$17)</f>
        <v>84.448099999999997</v>
      </c>
      <c r="E28" s="22">
        <f ca="1">IFERROR(__xludf.DUMMYFUNCTION("GOOGLEFINANCE(C28,""price"")"),763.51)</f>
        <v>763.51</v>
      </c>
      <c r="F28" s="22">
        <f t="shared" ca="1" si="0"/>
        <v>64476.968830999998</v>
      </c>
      <c r="G28" s="15" t="e">
        <f t="shared" ca="1" si="1"/>
        <v>#VALUE!</v>
      </c>
    </row>
    <row r="29" spans="1:8" ht="12.75">
      <c r="A29" s="28" t="s">
        <v>30</v>
      </c>
      <c r="B29" s="129" t="str">
        <f ca="1">IFERROR(__xludf.DUMMYFUNCTION("GOOGLEFINANCE(C29,""Name"")"),"Jabil Inc")</f>
        <v>Jabil Inc</v>
      </c>
      <c r="C29" s="28" t="s">
        <v>155</v>
      </c>
      <c r="D29" s="20">
        <f>SUMIF('Tall Firs'!$D$8:$D$36,C29,'Tall Firs'!$E$8:$E$36)+SUMIF('Alumni Fund'!$D$2:$D$17,C29,'Alumni Fund'!$E$2:$E$17)</f>
        <v>0</v>
      </c>
      <c r="E29" s="22">
        <f ca="1">IFERROR(__xludf.DUMMYFUNCTION("GOOGLEFINANCE(C29,""price"")"),358.6)</f>
        <v>358.6</v>
      </c>
      <c r="F29" s="22">
        <f t="shared" ca="1" si="0"/>
        <v>0</v>
      </c>
      <c r="G29" s="15" t="e">
        <f t="shared" ca="1" si="1"/>
        <v>#VALUE!</v>
      </c>
    </row>
    <row r="30" spans="1:8" ht="12.75">
      <c r="A30" s="28" t="s">
        <v>27</v>
      </c>
      <c r="B30" s="129" t="str">
        <f ca="1">IFERROR(__xludf.DUMMYFUNCTION("GOOGLEFINANCE(C30,""Name"")"),"Federal National Mortgage Association")</f>
        <v>Federal National Mortgage Association</v>
      </c>
      <c r="C30" s="28" t="s">
        <v>156</v>
      </c>
      <c r="D30" s="20">
        <f>SUMIF('Tall Firs'!$D$8:$D$36,C30,'Tall Firs'!$E$8:$E$36)+SUMIF('Alumni Fund'!$D$2:$D$17,C30,'Alumni Fund'!$E$2:$E$17)</f>
        <v>0</v>
      </c>
      <c r="E30" s="22">
        <f ca="1">IFERROR(__xludf.DUMMYFUNCTION("GOOGLEFINANCE(C30,""price"")"),6.88)</f>
        <v>6.88</v>
      </c>
      <c r="F30" s="22">
        <f t="shared" ca="1" si="0"/>
        <v>0</v>
      </c>
      <c r="G30" s="15" t="e">
        <f t="shared" ca="1" si="1"/>
        <v>#VALUE!</v>
      </c>
    </row>
    <row r="31" spans="1:8" ht="12.75">
      <c r="A31" s="28" t="s">
        <v>22</v>
      </c>
      <c r="B31" s="129" t="str">
        <f ca="1">IFERROR(__xludf.DUMMYFUNCTION("GOOGLEFINANCE(C31,""Name"")"),"Ford Motor Co")</f>
        <v>Ford Motor Co</v>
      </c>
      <c r="C31" s="28" t="s">
        <v>157</v>
      </c>
      <c r="D31" s="20">
        <f>SUMIF('Tall Firs'!$D$8:$D$36,C31,'Tall Firs'!$E$8:$E$36)+SUMIF('Alumni Fund'!$D$2:$D$17,C31,'Alumni Fund'!$E$2:$E$17)</f>
        <v>0</v>
      </c>
      <c r="E31" s="22">
        <f ca="1">IFERROR(__xludf.DUMMYFUNCTION("GOOGLEFINANCE(C31,""price"")"),14.13)</f>
        <v>14.13</v>
      </c>
      <c r="F31" s="22">
        <f t="shared" ca="1" si="0"/>
        <v>0</v>
      </c>
      <c r="G31" s="15" t="e">
        <f t="shared" ca="1" si="1"/>
        <v>#VALUE!</v>
      </c>
    </row>
    <row r="32" spans="1:8" ht="12.75">
      <c r="A32" s="129" t="s">
        <v>30</v>
      </c>
      <c r="B32" s="129" t="str">
        <f ca="1">IFERROR(__xludf.DUMMYFUNCTION("GOOGLEFINANCE(C32,""Name"")"),"Blue Bird Corp")</f>
        <v>Blue Bird Corp</v>
      </c>
      <c r="C32" s="129" t="s">
        <v>121</v>
      </c>
      <c r="D32" s="20">
        <f>SUMIF('Tall Firs'!$D$8:$D$36,C32,'Tall Firs'!$E$8:$E$36)+SUMIF('Alumni Fund'!$D$2:$D$17,C32,'Alumni Fund'!$E$2:$E$17)</f>
        <v>316</v>
      </c>
      <c r="E32" s="22">
        <f ca="1">IFERROR(__xludf.DUMMYFUNCTION("GOOGLEFINANCE(C32,""price"")"),78.81)</f>
        <v>78.81</v>
      </c>
      <c r="F32" s="22">
        <f t="shared" ca="1" si="0"/>
        <v>24903.96</v>
      </c>
      <c r="G32" s="15" t="e">
        <f t="shared" ca="1" si="1"/>
        <v>#VALUE!</v>
      </c>
    </row>
    <row r="33" spans="1:7" ht="12.75">
      <c r="A33" s="28" t="s">
        <v>30</v>
      </c>
      <c r="B33" s="129" t="str">
        <f ca="1">IFERROR(__xludf.DUMMYFUNCTION("GOOGLEFINANCE(C33,""Name"")"),"Argan Inc")</f>
        <v>Argan Inc</v>
      </c>
      <c r="C33" s="28" t="s">
        <v>118</v>
      </c>
      <c r="D33" s="20">
        <f>SUMIF('Tall Firs'!$D$8:$D$36,C33,'Tall Firs'!$E$8:$E$36)+SUMIF('Alumni Fund'!$D$2:$D$17,C33,'Alumni Fund'!$E$2:$E$17)</f>
        <v>46.7</v>
      </c>
      <c r="E33" s="22">
        <f ca="1">IFERROR(__xludf.DUMMYFUNCTION("GOOGLEFINANCE(C33,""price"")"),765.46)</f>
        <v>765.46</v>
      </c>
      <c r="F33" s="22">
        <f t="shared" ca="1" si="0"/>
        <v>35746.982000000004</v>
      </c>
      <c r="G33" s="15" t="e">
        <f t="shared" ca="1" si="1"/>
        <v>#VALUE!</v>
      </c>
    </row>
    <row r="34" spans="1:7" ht="12.75">
      <c r="A34" s="129" t="s">
        <v>18</v>
      </c>
      <c r="B34" s="129" t="str">
        <f ca="1">IFERROR(__xludf.DUMMYFUNCTION("GOOGLEFINANCE(C34,""Name"")"),"InterDigital Inc")</f>
        <v>InterDigital Inc</v>
      </c>
      <c r="C34" s="129" t="s">
        <v>158</v>
      </c>
      <c r="D34" s="20">
        <f>SUMIF('Tall Firs'!$D$8:$D$36,C34,'Tall Firs'!$E$8:$E$36)+SUMIF('Alumni Fund'!$D$2:$D$17,C34,'Alumni Fund'!$E$2:$E$17)</f>
        <v>0</v>
      </c>
      <c r="E34" s="22">
        <f ca="1">IFERROR(__xludf.DUMMYFUNCTION("GOOGLEFINANCE(C34,""price"")"),275.86)</f>
        <v>275.86</v>
      </c>
      <c r="F34" s="22">
        <f t="shared" ca="1" si="0"/>
        <v>0</v>
      </c>
      <c r="G34" s="15" t="e">
        <f t="shared" ca="1" si="1"/>
        <v>#VALUE!</v>
      </c>
    </row>
    <row r="35" spans="1:7" ht="12.75">
      <c r="A35" s="129" t="s">
        <v>27</v>
      </c>
      <c r="B35" s="129" t="str">
        <f ca="1">IFERROR(__xludf.DUMMYFUNCTION("GOOGLEFINANCE(C35,""Name"")"),"UMH Properties Inc")</f>
        <v>UMH Properties Inc</v>
      </c>
      <c r="C35" s="129" t="s">
        <v>159</v>
      </c>
      <c r="D35" s="20">
        <f>SUMIF('Tall Firs'!$D$8:$D$36,C35,'Tall Firs'!$E$8:$E$36)+SUMIF('Alumni Fund'!$D$2:$D$17,C35,'Alumni Fund'!$E$2:$E$17)</f>
        <v>0</v>
      </c>
      <c r="E35" s="22">
        <f ca="1">IFERROR(__xludf.DUMMYFUNCTION("GOOGLEFINANCE(C35,""price"")"),15.45)</f>
        <v>15.45</v>
      </c>
      <c r="F35" s="22">
        <f t="shared" ca="1" si="0"/>
        <v>0</v>
      </c>
      <c r="G35" s="15" t="e">
        <f t="shared" ca="1" si="1"/>
        <v>#VALUE!</v>
      </c>
    </row>
    <row r="36" spans="1:7" ht="12.75">
      <c r="A36" s="28" t="s">
        <v>30</v>
      </c>
      <c r="B36" s="129" t="str">
        <f ca="1">IFERROR(__xludf.DUMMYFUNCTION("GOOGLEFINANCE(C36,""Name"")"),"Corteva Inc")</f>
        <v>Corteva Inc</v>
      </c>
      <c r="C36" s="28" t="s">
        <v>33</v>
      </c>
      <c r="D36" s="20">
        <f>SUMIF('Tall Firs'!$D$8:$D$36,C36,'Tall Firs'!$E$8:$E$36)+SUMIF('Alumni Fund'!$D$2:$D$17,C36,'Alumni Fund'!$E$2:$E$17)</f>
        <v>763.00040000000001</v>
      </c>
      <c r="E36" s="22">
        <f ca="1">IFERROR(__xludf.DUMMYFUNCTION("GOOGLEFINANCE(C36,""price"")"),82.62)</f>
        <v>82.62</v>
      </c>
      <c r="F36" s="22">
        <f t="shared" ca="1" si="0"/>
        <v>63039.093048000002</v>
      </c>
      <c r="G36" s="15" t="e">
        <f t="shared" ca="1" si="1"/>
        <v>#VALUE!</v>
      </c>
    </row>
    <row r="37" spans="1:7" ht="12.75">
      <c r="A37" s="129" t="s">
        <v>30</v>
      </c>
      <c r="B37" s="129" t="str">
        <f ca="1">IFERROR(__xludf.DUMMYFUNCTION("GOOGLEFINANCE(C37,""Name"")"),"Sturm Ruger &amp; Company Inc")</f>
        <v>Sturm Ruger &amp; Company Inc</v>
      </c>
      <c r="C37" s="129" t="s">
        <v>160</v>
      </c>
      <c r="D37" s="20">
        <f>SUMIF('Tall Firs'!$D$8:$D$36,C37,'Tall Firs'!$E$8:$E$36)+SUMIF('Alumni Fund'!$D$2:$D$17,C37,'Alumni Fund'!$E$2:$E$17)</f>
        <v>0</v>
      </c>
      <c r="E37" s="22">
        <f ca="1">IFERROR(__xludf.DUMMYFUNCTION("GOOGLEFINANCE(C37,""price"")"),38.33)</f>
        <v>38.33</v>
      </c>
      <c r="F37" s="22">
        <f t="shared" ca="1" si="0"/>
        <v>0</v>
      </c>
      <c r="G37" s="15" t="e">
        <f t="shared" ca="1" si="1"/>
        <v>#VALUE!</v>
      </c>
    </row>
    <row r="38" spans="1:7" ht="12.75">
      <c r="A38" s="28" t="s">
        <v>30</v>
      </c>
      <c r="B38" s="129" t="str">
        <f ca="1">IFERROR(__xludf.DUMMYFUNCTION("GOOGLEFINANCE(C38,""Name"")"),"Otis Worldwide Corp")</f>
        <v>Otis Worldwide Corp</v>
      </c>
      <c r="C38" s="28" t="s">
        <v>161</v>
      </c>
      <c r="D38" s="20">
        <f>SUMIF('Tall Firs'!$D$8:$D$36,C38,'Tall Firs'!$E$8:$E$36)+SUMIF('Alumni Fund'!$D$2:$D$17,C38,'Alumni Fund'!$E$2:$E$17)</f>
        <v>0</v>
      </c>
      <c r="E38" s="22">
        <f ca="1">IFERROR(__xludf.DUMMYFUNCTION("GOOGLEFINANCE(C38,""price"")"),73.19)</f>
        <v>73.19</v>
      </c>
      <c r="F38" s="22">
        <f t="shared" ca="1" si="0"/>
        <v>0</v>
      </c>
      <c r="G38" s="15" t="e">
        <f t="shared" ca="1" si="1"/>
        <v>#VALUE!</v>
      </c>
    </row>
    <row r="39" spans="1:7" ht="12.75">
      <c r="A39" s="28" t="s">
        <v>34</v>
      </c>
      <c r="B39" s="129" t="str">
        <f ca="1">IFERROR(__xludf.DUMMYFUNCTION("GOOGLEFINANCE(C39,""Name"")"),"Viatris Inc")</f>
        <v>Viatris Inc</v>
      </c>
      <c r="C39" s="28" t="s">
        <v>162</v>
      </c>
      <c r="D39" s="20">
        <f>SUMIF('Tall Firs'!$D$8:$D$36,C39,'Tall Firs'!$E$8:$E$36)+SUMIF('Alumni Fund'!$D$2:$D$17,C39,'Alumni Fund'!$E$2:$E$17)</f>
        <v>0</v>
      </c>
      <c r="E39" s="22">
        <f ca="1">IFERROR(__xludf.DUMMYFUNCTION("GOOGLEFINANCE(C39,""price"")"),16.33)</f>
        <v>16.329999999999998</v>
      </c>
      <c r="F39" s="22">
        <f t="shared" ca="1" si="0"/>
        <v>0</v>
      </c>
      <c r="G39" s="15" t="e">
        <f t="shared" ca="1" si="1"/>
        <v>#VALUE!</v>
      </c>
    </row>
    <row r="40" spans="1:7" ht="12.75">
      <c r="A40" s="129" t="s">
        <v>22</v>
      </c>
      <c r="B40" s="129" t="str">
        <f ca="1">IFERROR(__xludf.DUMMYFUNCTION("GOOGLEFINANCE(C40,""Name"")"),"Cal-Maine Foods Inc")</f>
        <v>Cal-Maine Foods Inc</v>
      </c>
      <c r="C40" s="129" t="s">
        <v>163</v>
      </c>
      <c r="D40" s="20">
        <f>SUMIF('Tall Firs'!$D$8:$D$36,C40,'Tall Firs'!$E$8:$E$36)+SUMIF('Alumni Fund'!$D$2:$D$17,C40,'Alumni Fund'!$E$2:$E$17)</f>
        <v>0</v>
      </c>
      <c r="E40" s="22">
        <f ca="1">IFERROR(__xludf.DUMMYFUNCTION("GOOGLEFINANCE(C40,""price"")"),80.23)</f>
        <v>80.23</v>
      </c>
      <c r="F40" s="22">
        <f t="shared" ca="1" si="0"/>
        <v>0</v>
      </c>
      <c r="G40" s="15" t="e">
        <f t="shared" ca="1" si="1"/>
        <v>#VALUE!</v>
      </c>
    </row>
    <row r="41" spans="1:7" ht="12.75">
      <c r="A41" s="129" t="s">
        <v>164</v>
      </c>
      <c r="B41" s="129" t="str">
        <f ca="1">IFERROR(__xludf.DUMMYFUNCTION("GOOGLEFINANCE(C41,""Name"")"),"iShares Russell 2000 ETF")</f>
        <v>iShares Russell 2000 ETF</v>
      </c>
      <c r="C41" s="28" t="s">
        <v>133</v>
      </c>
      <c r="D41" s="20">
        <f>SUMIF('Tall Firs'!$D$8:$D$36,C41,'Tall Firs'!$E$8:$E$36)+SUMIF('Alumni Fund'!$D$2:$D$17,C41,'Alumni Fund'!$E$2:$E$17)</f>
        <v>949.16</v>
      </c>
      <c r="E41" s="22">
        <f ca="1">IFERROR(__xludf.DUMMYFUNCTION("GOOGLEFINANCE(C41,""price"")"),299.83)</f>
        <v>299.83</v>
      </c>
      <c r="F41" s="22">
        <f t="shared" ca="1" si="0"/>
        <v>284586.64279999997</v>
      </c>
      <c r="G41" s="15" t="e">
        <f t="shared" ca="1" si="1"/>
        <v>#VALUE!</v>
      </c>
    </row>
    <row r="42" spans="1:7" ht="12.75">
      <c r="A42" s="28" t="s">
        <v>165</v>
      </c>
      <c r="B42" s="129" t="str">
        <f ca="1">IFERROR(__xludf.DUMMYFUNCTION("GOOGLEFINANCE(C42,""Name"")"),"iShares Russell 3000 ETF")</f>
        <v>iShares Russell 3000 ETF</v>
      </c>
      <c r="C42" s="28" t="s">
        <v>64</v>
      </c>
      <c r="D42" s="20">
        <f>SUMIF('Tall Firs'!$D$8:$D$36,C42,'Tall Firs'!$E$8:$E$36)+SUMIF('Alumni Fund'!$D$2:$D$17,C42,'Alumni Fund'!$E$2:$E$17)</f>
        <v>1563.0996</v>
      </c>
      <c r="E42" s="22">
        <f ca="1">IFERROR(__xludf.DUMMYFUNCTION("GOOGLEFINANCE(C42,""price"")"),417.25)</f>
        <v>417.25</v>
      </c>
      <c r="F42" s="22">
        <f t="shared" ca="1" si="0"/>
        <v>652203.30810000002</v>
      </c>
      <c r="G42" s="15" t="e">
        <f t="shared" ca="1" si="1"/>
        <v>#VALUE!</v>
      </c>
    </row>
    <row r="43" spans="1:7" ht="12.75">
      <c r="A43" s="28" t="s">
        <v>60</v>
      </c>
      <c r="B43" s="157"/>
      <c r="F43" s="22">
        <f ca="1">SUMIF('Alumni Fund'!$A$2:$A$17,"Cash",'Alumni Fund'!$G$2:$G$17)+SUMIF('Tall Firs'!$A$4:$A$72,"Cash",'Tall Firs'!$G$4:$G$61)</f>
        <v>263.14999999999998</v>
      </c>
      <c r="G43" s="15" t="e">
        <f t="shared" ca="1" si="1"/>
        <v>#VALUE!</v>
      </c>
    </row>
    <row r="44" spans="1:7" ht="12.75">
      <c r="A44" s="28" t="s">
        <v>166</v>
      </c>
      <c r="B44" s="157"/>
      <c r="F44" s="22" t="e">
        <f ca="1">SUM(F2,F16,F3:F14,F17:F33,F34:F43)</f>
        <v>#VALUE!</v>
      </c>
      <c r="G44" s="15" t="e">
        <f t="shared" ca="1" si="1"/>
        <v>#VALUE!</v>
      </c>
    </row>
    <row r="45" spans="1:7" ht="12.75">
      <c r="B45" s="157"/>
      <c r="G45" s="158"/>
    </row>
    <row r="46" spans="1:7" ht="12.75">
      <c r="B46" s="157"/>
      <c r="G46" s="158"/>
    </row>
    <row r="47" spans="1:7" ht="12.75">
      <c r="B47" s="157"/>
      <c r="G47" s="158"/>
    </row>
    <row r="48" spans="1:7" ht="12.75">
      <c r="B48" s="157"/>
      <c r="G48" s="158"/>
    </row>
    <row r="49" spans="2:7" ht="12.75">
      <c r="B49" s="157"/>
      <c r="G49" s="158"/>
    </row>
    <row r="50" spans="2:7" ht="12.75">
      <c r="B50" s="157"/>
      <c r="G50" s="158"/>
    </row>
    <row r="51" spans="2:7" ht="12.75">
      <c r="B51" s="157"/>
      <c r="G51" s="158"/>
    </row>
    <row r="52" spans="2:7" ht="12.75">
      <c r="B52" s="157"/>
      <c r="G52" s="158"/>
    </row>
    <row r="53" spans="2:7" ht="12.75">
      <c r="B53" s="157"/>
      <c r="G53" s="158"/>
    </row>
    <row r="54" spans="2:7" ht="12.75">
      <c r="B54" s="157"/>
      <c r="G54" s="158"/>
    </row>
    <row r="55" spans="2:7" ht="12.75">
      <c r="B55" s="157"/>
      <c r="G55" s="158"/>
    </row>
    <row r="56" spans="2:7" ht="12.75">
      <c r="B56" s="157"/>
      <c r="G56" s="158"/>
    </row>
    <row r="57" spans="2:7" ht="12.75">
      <c r="B57" s="157"/>
      <c r="G57" s="158"/>
    </row>
    <row r="58" spans="2:7" ht="12.75">
      <c r="B58" s="157"/>
      <c r="G58" s="158"/>
    </row>
    <row r="59" spans="2:7" ht="12.75">
      <c r="B59" s="157"/>
      <c r="G59" s="158"/>
    </row>
    <row r="60" spans="2:7" ht="12.75">
      <c r="B60" s="157"/>
      <c r="G60" s="158"/>
    </row>
    <row r="61" spans="2:7" ht="12.75">
      <c r="B61" s="157"/>
      <c r="G61" s="158"/>
    </row>
    <row r="62" spans="2:7" ht="12.75">
      <c r="B62" s="157"/>
      <c r="G62" s="158"/>
    </row>
    <row r="63" spans="2:7" ht="12.75">
      <c r="B63" s="157"/>
      <c r="G63" s="158"/>
    </row>
    <row r="64" spans="2:7" ht="12.75">
      <c r="B64" s="157"/>
      <c r="G64" s="158"/>
    </row>
    <row r="65" spans="2:7" ht="12.75">
      <c r="B65" s="157"/>
      <c r="G65" s="158"/>
    </row>
    <row r="66" spans="2:7" ht="12.75">
      <c r="B66" s="157"/>
      <c r="G66" s="158"/>
    </row>
    <row r="67" spans="2:7" ht="12.75">
      <c r="B67" s="157"/>
      <c r="G67" s="158"/>
    </row>
    <row r="68" spans="2:7" ht="12.75">
      <c r="B68" s="157"/>
      <c r="G68" s="158"/>
    </row>
    <row r="69" spans="2:7" ht="12.75">
      <c r="B69" s="157"/>
      <c r="G69" s="158"/>
    </row>
    <row r="70" spans="2:7" ht="12.75">
      <c r="B70" s="157"/>
      <c r="G70" s="158"/>
    </row>
    <row r="71" spans="2:7" ht="12.75">
      <c r="B71" s="157"/>
      <c r="G71" s="158"/>
    </row>
    <row r="72" spans="2:7" ht="12.75">
      <c r="B72" s="157"/>
      <c r="G72" s="158"/>
    </row>
    <row r="73" spans="2:7" ht="12.75">
      <c r="B73" s="157"/>
      <c r="G73" s="158"/>
    </row>
    <row r="74" spans="2:7" ht="12.75">
      <c r="B74" s="157"/>
      <c r="G74" s="158"/>
    </row>
    <row r="75" spans="2:7" ht="12.75">
      <c r="B75" s="157"/>
      <c r="G75" s="158"/>
    </row>
    <row r="76" spans="2:7" ht="12.75">
      <c r="B76" s="157"/>
      <c r="G76" s="158"/>
    </row>
    <row r="77" spans="2:7" ht="12.75">
      <c r="B77" s="157"/>
      <c r="G77" s="158"/>
    </row>
    <row r="78" spans="2:7" ht="12.75">
      <c r="B78" s="157"/>
      <c r="G78" s="158"/>
    </row>
    <row r="79" spans="2:7" ht="12.75">
      <c r="B79" s="157"/>
      <c r="G79" s="158"/>
    </row>
    <row r="80" spans="2:7" ht="12.75">
      <c r="B80" s="157"/>
      <c r="G80" s="158"/>
    </row>
    <row r="81" spans="2:7" ht="12.75">
      <c r="B81" s="157"/>
      <c r="G81" s="158"/>
    </row>
    <row r="82" spans="2:7" ht="12.75">
      <c r="B82" s="157"/>
      <c r="G82" s="158"/>
    </row>
    <row r="83" spans="2:7" ht="12.75">
      <c r="B83" s="157"/>
      <c r="G83" s="158"/>
    </row>
    <row r="84" spans="2:7" ht="12.75">
      <c r="B84" s="157"/>
      <c r="G84" s="158"/>
    </row>
    <row r="85" spans="2:7" ht="12.75">
      <c r="B85" s="157"/>
      <c r="G85" s="158"/>
    </row>
    <row r="86" spans="2:7" ht="12.75">
      <c r="B86" s="157"/>
      <c r="G86" s="158"/>
    </row>
    <row r="87" spans="2:7" ht="12.75">
      <c r="B87" s="157"/>
      <c r="G87" s="158"/>
    </row>
    <row r="88" spans="2:7" ht="12.75">
      <c r="B88" s="157"/>
      <c r="G88" s="158"/>
    </row>
    <row r="89" spans="2:7" ht="12.75">
      <c r="B89" s="157"/>
      <c r="G89" s="158"/>
    </row>
    <row r="90" spans="2:7" ht="12.75">
      <c r="B90" s="157"/>
      <c r="G90" s="158"/>
    </row>
    <row r="91" spans="2:7" ht="12.75">
      <c r="B91" s="157"/>
      <c r="G91" s="158"/>
    </row>
    <row r="92" spans="2:7" ht="12.75">
      <c r="B92" s="157"/>
      <c r="G92" s="158"/>
    </row>
    <row r="93" spans="2:7" ht="12.75">
      <c r="B93" s="157"/>
      <c r="G93" s="158"/>
    </row>
    <row r="94" spans="2:7" ht="12.75">
      <c r="B94" s="157"/>
      <c r="G94" s="158"/>
    </row>
    <row r="95" spans="2:7" ht="12.75">
      <c r="B95" s="157"/>
      <c r="G95" s="158"/>
    </row>
    <row r="96" spans="2:7" ht="12.75">
      <c r="B96" s="157"/>
      <c r="G96" s="158"/>
    </row>
    <row r="97" spans="2:7" ht="12.75">
      <c r="B97" s="157"/>
      <c r="G97" s="158"/>
    </row>
    <row r="98" spans="2:7" ht="12.75">
      <c r="B98" s="157"/>
      <c r="G98" s="158"/>
    </row>
    <row r="99" spans="2:7" ht="12.75">
      <c r="B99" s="157"/>
      <c r="G99" s="158"/>
    </row>
    <row r="100" spans="2:7" ht="12.75">
      <c r="B100" s="157"/>
      <c r="G100" s="158"/>
    </row>
    <row r="101" spans="2:7" ht="12.75">
      <c r="B101" s="157"/>
      <c r="G101" s="158"/>
    </row>
    <row r="102" spans="2:7" ht="12.75">
      <c r="B102" s="157"/>
      <c r="G102" s="158"/>
    </row>
    <row r="103" spans="2:7" ht="12.75">
      <c r="B103" s="157"/>
      <c r="G103" s="158"/>
    </row>
    <row r="104" spans="2:7" ht="12.75">
      <c r="B104" s="157"/>
      <c r="G104" s="158"/>
    </row>
    <row r="105" spans="2:7" ht="12.75">
      <c r="B105" s="157"/>
      <c r="G105" s="158"/>
    </row>
    <row r="106" spans="2:7" ht="12.75">
      <c r="B106" s="157"/>
      <c r="G106" s="158"/>
    </row>
    <row r="107" spans="2:7" ht="12.75">
      <c r="B107" s="157"/>
      <c r="G107" s="158"/>
    </row>
    <row r="108" spans="2:7" ht="12.75">
      <c r="B108" s="157"/>
      <c r="G108" s="158"/>
    </row>
    <row r="109" spans="2:7" ht="12.75">
      <c r="B109" s="157"/>
      <c r="G109" s="158"/>
    </row>
    <row r="110" spans="2:7" ht="12.75">
      <c r="B110" s="157"/>
      <c r="G110" s="158"/>
    </row>
    <row r="111" spans="2:7" ht="12.75">
      <c r="B111" s="157"/>
      <c r="G111" s="158"/>
    </row>
    <row r="112" spans="2:7" ht="12.75">
      <c r="B112" s="157"/>
      <c r="G112" s="158"/>
    </row>
    <row r="113" spans="2:7" ht="12.75">
      <c r="B113" s="157"/>
      <c r="G113" s="158"/>
    </row>
    <row r="114" spans="2:7" ht="12.75">
      <c r="B114" s="157"/>
      <c r="G114" s="158"/>
    </row>
    <row r="115" spans="2:7" ht="12.75">
      <c r="B115" s="157"/>
      <c r="G115" s="158"/>
    </row>
    <row r="116" spans="2:7" ht="12.75">
      <c r="B116" s="157"/>
      <c r="G116" s="158"/>
    </row>
    <row r="117" spans="2:7" ht="12.75">
      <c r="B117" s="157"/>
      <c r="G117" s="158"/>
    </row>
    <row r="118" spans="2:7" ht="12.75">
      <c r="B118" s="157"/>
      <c r="G118" s="158"/>
    </row>
    <row r="119" spans="2:7" ht="12.75">
      <c r="B119" s="157"/>
      <c r="G119" s="158"/>
    </row>
    <row r="120" spans="2:7" ht="12.75">
      <c r="B120" s="157"/>
      <c r="G120" s="158"/>
    </row>
    <row r="121" spans="2:7" ht="12.75">
      <c r="B121" s="157"/>
      <c r="G121" s="158"/>
    </row>
    <row r="122" spans="2:7" ht="12.75">
      <c r="B122" s="157"/>
      <c r="G122" s="158"/>
    </row>
    <row r="123" spans="2:7" ht="12.75">
      <c r="B123" s="157"/>
      <c r="G123" s="158"/>
    </row>
    <row r="124" spans="2:7" ht="12.75">
      <c r="B124" s="157"/>
      <c r="G124" s="158"/>
    </row>
    <row r="125" spans="2:7" ht="12.75">
      <c r="B125" s="157"/>
      <c r="G125" s="158"/>
    </row>
    <row r="126" spans="2:7" ht="12.75">
      <c r="B126" s="157"/>
      <c r="G126" s="158"/>
    </row>
    <row r="127" spans="2:7" ht="12.75">
      <c r="B127" s="157"/>
      <c r="G127" s="158"/>
    </row>
    <row r="128" spans="2:7" ht="12.75">
      <c r="B128" s="157"/>
      <c r="G128" s="158"/>
    </row>
    <row r="129" spans="2:7" ht="12.75">
      <c r="B129" s="157"/>
      <c r="G129" s="158"/>
    </row>
    <row r="130" spans="2:7" ht="12.75">
      <c r="B130" s="157"/>
      <c r="G130" s="158"/>
    </row>
    <row r="131" spans="2:7" ht="12.75">
      <c r="B131" s="157"/>
      <c r="G131" s="158"/>
    </row>
    <row r="132" spans="2:7" ht="12.75">
      <c r="B132" s="157"/>
      <c r="G132" s="158"/>
    </row>
    <row r="133" spans="2:7" ht="12.75">
      <c r="B133" s="157"/>
      <c r="G133" s="158"/>
    </row>
    <row r="134" spans="2:7" ht="12.75">
      <c r="B134" s="157"/>
      <c r="G134" s="158"/>
    </row>
    <row r="135" spans="2:7" ht="12.75">
      <c r="B135" s="157"/>
      <c r="G135" s="158"/>
    </row>
    <row r="136" spans="2:7" ht="12.75">
      <c r="B136" s="157"/>
      <c r="G136" s="158"/>
    </row>
    <row r="137" spans="2:7" ht="12.75">
      <c r="B137" s="157"/>
      <c r="G137" s="158"/>
    </row>
    <row r="138" spans="2:7" ht="12.75">
      <c r="B138" s="157"/>
      <c r="G138" s="158"/>
    </row>
    <row r="139" spans="2:7" ht="12.75">
      <c r="B139" s="157"/>
      <c r="G139" s="158"/>
    </row>
    <row r="140" spans="2:7" ht="12.75">
      <c r="B140" s="157"/>
      <c r="G140" s="158"/>
    </row>
    <row r="141" spans="2:7" ht="12.75">
      <c r="B141" s="157"/>
      <c r="G141" s="158"/>
    </row>
    <row r="142" spans="2:7" ht="12.75">
      <c r="B142" s="157"/>
      <c r="G142" s="158"/>
    </row>
    <row r="143" spans="2:7" ht="12.75">
      <c r="B143" s="157"/>
      <c r="G143" s="158"/>
    </row>
    <row r="144" spans="2:7" ht="12.75">
      <c r="B144" s="157"/>
      <c r="G144" s="158"/>
    </row>
    <row r="145" spans="2:7" ht="12.75">
      <c r="B145" s="157"/>
      <c r="G145" s="158"/>
    </row>
    <row r="146" spans="2:7" ht="12.75">
      <c r="B146" s="157"/>
      <c r="G146" s="158"/>
    </row>
    <row r="147" spans="2:7" ht="12.75">
      <c r="B147" s="157"/>
      <c r="G147" s="158"/>
    </row>
    <row r="148" spans="2:7" ht="12.75">
      <c r="B148" s="157"/>
      <c r="G148" s="158"/>
    </row>
    <row r="149" spans="2:7" ht="12.75">
      <c r="B149" s="157"/>
      <c r="G149" s="158"/>
    </row>
    <row r="150" spans="2:7" ht="12.75">
      <c r="B150" s="157"/>
      <c r="G150" s="158"/>
    </row>
    <row r="151" spans="2:7" ht="12.75">
      <c r="B151" s="157"/>
      <c r="G151" s="158"/>
    </row>
    <row r="152" spans="2:7" ht="12.75">
      <c r="B152" s="157"/>
      <c r="G152" s="158"/>
    </row>
    <row r="153" spans="2:7" ht="12.75">
      <c r="B153" s="157"/>
      <c r="G153" s="158"/>
    </row>
    <row r="154" spans="2:7" ht="12.75">
      <c r="B154" s="157"/>
      <c r="G154" s="158"/>
    </row>
    <row r="155" spans="2:7" ht="12.75">
      <c r="B155" s="157"/>
      <c r="G155" s="158"/>
    </row>
    <row r="156" spans="2:7" ht="12.75">
      <c r="B156" s="157"/>
      <c r="G156" s="158"/>
    </row>
    <row r="157" spans="2:7" ht="12.75">
      <c r="B157" s="157"/>
      <c r="G157" s="158"/>
    </row>
    <row r="158" spans="2:7" ht="12.75">
      <c r="B158" s="157"/>
      <c r="G158" s="158"/>
    </row>
    <row r="159" spans="2:7" ht="12.75">
      <c r="B159" s="157"/>
      <c r="G159" s="158"/>
    </row>
    <row r="160" spans="2:7" ht="12.75">
      <c r="B160" s="157"/>
      <c r="G160" s="158"/>
    </row>
    <row r="161" spans="2:7" ht="12.75">
      <c r="B161" s="157"/>
      <c r="G161" s="158"/>
    </row>
    <row r="162" spans="2:7" ht="12.75">
      <c r="B162" s="157"/>
      <c r="G162" s="158"/>
    </row>
    <row r="163" spans="2:7" ht="12.75">
      <c r="B163" s="157"/>
      <c r="G163" s="158"/>
    </row>
    <row r="164" spans="2:7" ht="12.75">
      <c r="B164" s="157"/>
      <c r="G164" s="158"/>
    </row>
    <row r="165" spans="2:7" ht="12.75">
      <c r="B165" s="157"/>
      <c r="G165" s="158"/>
    </row>
    <row r="166" spans="2:7" ht="12.75">
      <c r="B166" s="157"/>
      <c r="G166" s="158"/>
    </row>
    <row r="167" spans="2:7" ht="12.75">
      <c r="B167" s="157"/>
      <c r="G167" s="158"/>
    </row>
    <row r="168" spans="2:7" ht="12.75">
      <c r="B168" s="157"/>
      <c r="G168" s="158"/>
    </row>
    <row r="169" spans="2:7" ht="12.75">
      <c r="B169" s="157"/>
      <c r="G169" s="158"/>
    </row>
    <row r="170" spans="2:7" ht="12.75">
      <c r="B170" s="157"/>
      <c r="G170" s="158"/>
    </row>
    <row r="171" spans="2:7" ht="12.75">
      <c r="B171" s="157"/>
      <c r="G171" s="158"/>
    </row>
    <row r="172" spans="2:7" ht="12.75">
      <c r="B172" s="157"/>
      <c r="G172" s="158"/>
    </row>
    <row r="173" spans="2:7" ht="12.75">
      <c r="B173" s="157"/>
      <c r="G173" s="158"/>
    </row>
    <row r="174" spans="2:7" ht="12.75">
      <c r="B174" s="157"/>
      <c r="G174" s="158"/>
    </row>
    <row r="175" spans="2:7" ht="12.75">
      <c r="B175" s="157"/>
      <c r="G175" s="158"/>
    </row>
    <row r="176" spans="2:7" ht="12.75">
      <c r="B176" s="157"/>
      <c r="G176" s="158"/>
    </row>
    <row r="177" spans="2:7" ht="12.75">
      <c r="B177" s="157"/>
      <c r="G177" s="158"/>
    </row>
    <row r="178" spans="2:7" ht="12.75">
      <c r="B178" s="157"/>
      <c r="G178" s="158"/>
    </row>
    <row r="179" spans="2:7" ht="12.75">
      <c r="B179" s="157"/>
      <c r="G179" s="158"/>
    </row>
    <row r="180" spans="2:7" ht="12.75">
      <c r="B180" s="157"/>
      <c r="G180" s="158"/>
    </row>
    <row r="181" spans="2:7" ht="12.75">
      <c r="B181" s="157"/>
      <c r="G181" s="158"/>
    </row>
    <row r="182" spans="2:7" ht="12.75">
      <c r="B182" s="157"/>
      <c r="G182" s="158"/>
    </row>
    <row r="183" spans="2:7" ht="12.75">
      <c r="B183" s="157"/>
      <c r="G183" s="158"/>
    </row>
    <row r="184" spans="2:7" ht="12.75">
      <c r="B184" s="157"/>
      <c r="G184" s="158"/>
    </row>
    <row r="185" spans="2:7" ht="12.75">
      <c r="B185" s="157"/>
      <c r="G185" s="158"/>
    </row>
    <row r="186" spans="2:7" ht="12.75">
      <c r="B186" s="157"/>
      <c r="G186" s="158"/>
    </row>
    <row r="187" spans="2:7" ht="12.75">
      <c r="B187" s="157"/>
      <c r="G187" s="158"/>
    </row>
    <row r="188" spans="2:7" ht="12.75">
      <c r="B188" s="157"/>
      <c r="G188" s="158"/>
    </row>
    <row r="189" spans="2:7" ht="12.75">
      <c r="B189" s="157"/>
      <c r="G189" s="158"/>
    </row>
    <row r="190" spans="2:7" ht="12.75">
      <c r="B190" s="157"/>
      <c r="G190" s="158"/>
    </row>
    <row r="191" spans="2:7" ht="12.75">
      <c r="B191" s="157"/>
      <c r="G191" s="158"/>
    </row>
    <row r="192" spans="2:7" ht="12.75">
      <c r="B192" s="157"/>
      <c r="G192" s="158"/>
    </row>
    <row r="193" spans="2:7" ht="12.75">
      <c r="B193" s="157"/>
      <c r="G193" s="158"/>
    </row>
    <row r="194" spans="2:7" ht="12.75">
      <c r="B194" s="157"/>
      <c r="G194" s="158"/>
    </row>
    <row r="195" spans="2:7" ht="12.75">
      <c r="B195" s="157"/>
      <c r="G195" s="158"/>
    </row>
    <row r="196" spans="2:7" ht="12.75">
      <c r="B196" s="157"/>
      <c r="G196" s="158"/>
    </row>
    <row r="197" spans="2:7" ht="12.75">
      <c r="B197" s="157"/>
      <c r="G197" s="158"/>
    </row>
    <row r="198" spans="2:7" ht="12.75">
      <c r="B198" s="157"/>
      <c r="G198" s="158"/>
    </row>
    <row r="199" spans="2:7" ht="12.75">
      <c r="B199" s="157"/>
      <c r="G199" s="158"/>
    </row>
    <row r="200" spans="2:7" ht="12.75">
      <c r="B200" s="157"/>
      <c r="G200" s="158"/>
    </row>
    <row r="201" spans="2:7" ht="12.75">
      <c r="B201" s="157"/>
      <c r="G201" s="158"/>
    </row>
    <row r="202" spans="2:7" ht="12.75">
      <c r="B202" s="157"/>
      <c r="G202" s="158"/>
    </row>
    <row r="203" spans="2:7" ht="12.75">
      <c r="B203" s="157"/>
      <c r="G203" s="158"/>
    </row>
    <row r="204" spans="2:7" ht="12.75">
      <c r="B204" s="157"/>
      <c r="G204" s="158"/>
    </row>
    <row r="205" spans="2:7" ht="12.75">
      <c r="B205" s="157"/>
      <c r="G205" s="158"/>
    </row>
    <row r="206" spans="2:7" ht="12.75">
      <c r="B206" s="157"/>
      <c r="G206" s="158"/>
    </row>
    <row r="207" spans="2:7" ht="12.75">
      <c r="B207" s="157"/>
      <c r="G207" s="158"/>
    </row>
    <row r="208" spans="2:7" ht="12.75">
      <c r="B208" s="157"/>
      <c r="G208" s="158"/>
    </row>
    <row r="209" spans="2:7" ht="12.75">
      <c r="B209" s="157"/>
      <c r="G209" s="158"/>
    </row>
    <row r="210" spans="2:7" ht="12.75">
      <c r="B210" s="157"/>
      <c r="G210" s="158"/>
    </row>
    <row r="211" spans="2:7" ht="12.75">
      <c r="B211" s="157"/>
      <c r="G211" s="158"/>
    </row>
    <row r="212" spans="2:7" ht="12.75">
      <c r="B212" s="157"/>
      <c r="G212" s="158"/>
    </row>
    <row r="213" spans="2:7" ht="12.75">
      <c r="B213" s="157"/>
      <c r="G213" s="158"/>
    </row>
    <row r="214" spans="2:7" ht="12.75">
      <c r="B214" s="157"/>
      <c r="G214" s="158"/>
    </row>
    <row r="215" spans="2:7" ht="12.75">
      <c r="B215" s="157"/>
      <c r="G215" s="158"/>
    </row>
    <row r="216" spans="2:7" ht="12.75">
      <c r="B216" s="157"/>
      <c r="G216" s="158"/>
    </row>
    <row r="217" spans="2:7" ht="12.75">
      <c r="B217" s="157"/>
      <c r="G217" s="158"/>
    </row>
    <row r="218" spans="2:7" ht="12.75">
      <c r="B218" s="157"/>
      <c r="G218" s="158"/>
    </row>
    <row r="219" spans="2:7" ht="12.75">
      <c r="B219" s="157"/>
      <c r="G219" s="158"/>
    </row>
    <row r="220" spans="2:7" ht="12.75">
      <c r="B220" s="157"/>
      <c r="G220" s="158"/>
    </row>
    <row r="221" spans="2:7" ht="12.75">
      <c r="B221" s="157"/>
      <c r="G221" s="158"/>
    </row>
    <row r="222" spans="2:7" ht="12.75">
      <c r="B222" s="157"/>
      <c r="G222" s="158"/>
    </row>
    <row r="223" spans="2:7" ht="12.75">
      <c r="B223" s="157"/>
      <c r="G223" s="158"/>
    </row>
    <row r="224" spans="2:7" ht="12.75">
      <c r="B224" s="157"/>
      <c r="G224" s="158"/>
    </row>
    <row r="225" spans="2:7" ht="12.75">
      <c r="B225" s="157"/>
      <c r="G225" s="158"/>
    </row>
    <row r="226" spans="2:7" ht="12.75">
      <c r="B226" s="157"/>
      <c r="G226" s="158"/>
    </row>
    <row r="227" spans="2:7" ht="12.75">
      <c r="B227" s="157"/>
      <c r="G227" s="158"/>
    </row>
    <row r="228" spans="2:7" ht="12.75">
      <c r="B228" s="157"/>
      <c r="G228" s="158"/>
    </row>
    <row r="229" spans="2:7" ht="12.75">
      <c r="B229" s="157"/>
      <c r="G229" s="158"/>
    </row>
    <row r="230" spans="2:7" ht="12.75">
      <c r="B230" s="157"/>
      <c r="G230" s="158"/>
    </row>
    <row r="231" spans="2:7" ht="12.75">
      <c r="B231" s="157"/>
      <c r="G231" s="158"/>
    </row>
    <row r="232" spans="2:7" ht="12.75">
      <c r="B232" s="157"/>
      <c r="G232" s="158"/>
    </row>
    <row r="233" spans="2:7" ht="12.75">
      <c r="B233" s="157"/>
      <c r="G233" s="158"/>
    </row>
    <row r="234" spans="2:7" ht="12.75">
      <c r="B234" s="157"/>
      <c r="G234" s="158"/>
    </row>
    <row r="235" spans="2:7" ht="12.75">
      <c r="B235" s="157"/>
      <c r="G235" s="158"/>
    </row>
    <row r="236" spans="2:7" ht="12.75">
      <c r="B236" s="157"/>
      <c r="G236" s="158"/>
    </row>
    <row r="237" spans="2:7" ht="12.75">
      <c r="B237" s="157"/>
      <c r="G237" s="158"/>
    </row>
    <row r="238" spans="2:7" ht="12.75">
      <c r="B238" s="157"/>
      <c r="G238" s="158"/>
    </row>
    <row r="239" spans="2:7" ht="12.75">
      <c r="B239" s="157"/>
      <c r="G239" s="158"/>
    </row>
    <row r="240" spans="2:7" ht="12.75">
      <c r="B240" s="157"/>
      <c r="G240" s="158"/>
    </row>
    <row r="241" spans="2:7" ht="12.75">
      <c r="B241" s="157"/>
      <c r="G241" s="158"/>
    </row>
    <row r="242" spans="2:7" ht="12.75">
      <c r="B242" s="157"/>
      <c r="G242" s="158"/>
    </row>
    <row r="243" spans="2:7" ht="12.75">
      <c r="B243" s="157"/>
      <c r="G243" s="158"/>
    </row>
    <row r="244" spans="2:7" ht="12.75">
      <c r="B244" s="157"/>
      <c r="G244" s="158"/>
    </row>
    <row r="245" spans="2:7" ht="12.75">
      <c r="B245" s="157"/>
      <c r="G245" s="158"/>
    </row>
    <row r="246" spans="2:7" ht="12.75">
      <c r="B246" s="157"/>
      <c r="G246" s="158"/>
    </row>
    <row r="247" spans="2:7" ht="12.75">
      <c r="B247" s="157"/>
      <c r="G247" s="158"/>
    </row>
    <row r="248" spans="2:7" ht="12.75">
      <c r="B248" s="157"/>
      <c r="G248" s="158"/>
    </row>
    <row r="249" spans="2:7" ht="12.75">
      <c r="B249" s="157"/>
      <c r="G249" s="158"/>
    </row>
    <row r="250" spans="2:7" ht="12.75">
      <c r="B250" s="157"/>
      <c r="G250" s="158"/>
    </row>
    <row r="251" spans="2:7" ht="12.75">
      <c r="B251" s="157"/>
      <c r="G251" s="158"/>
    </row>
    <row r="252" spans="2:7" ht="12.75">
      <c r="B252" s="157"/>
      <c r="G252" s="158"/>
    </row>
    <row r="253" spans="2:7" ht="12.75">
      <c r="B253" s="157"/>
      <c r="G253" s="158"/>
    </row>
    <row r="254" spans="2:7" ht="12.75">
      <c r="B254" s="157"/>
      <c r="G254" s="158"/>
    </row>
    <row r="255" spans="2:7" ht="12.75">
      <c r="B255" s="157"/>
      <c r="G255" s="158"/>
    </row>
    <row r="256" spans="2:7" ht="12.75">
      <c r="B256" s="157"/>
      <c r="G256" s="158"/>
    </row>
    <row r="257" spans="2:7" ht="12.75">
      <c r="B257" s="157"/>
      <c r="G257" s="158"/>
    </row>
    <row r="258" spans="2:7" ht="12.75">
      <c r="B258" s="157"/>
      <c r="G258" s="158"/>
    </row>
    <row r="259" spans="2:7" ht="12.75">
      <c r="B259" s="157"/>
      <c r="G259" s="158"/>
    </row>
    <row r="260" spans="2:7" ht="12.75">
      <c r="B260" s="157"/>
      <c r="G260" s="158"/>
    </row>
    <row r="261" spans="2:7" ht="12.75">
      <c r="B261" s="157"/>
      <c r="G261" s="158"/>
    </row>
    <row r="262" spans="2:7" ht="12.75">
      <c r="B262" s="157"/>
      <c r="G262" s="158"/>
    </row>
    <row r="263" spans="2:7" ht="12.75">
      <c r="B263" s="157"/>
      <c r="G263" s="158"/>
    </row>
    <row r="264" spans="2:7" ht="12.75">
      <c r="B264" s="157"/>
      <c r="G264" s="158"/>
    </row>
    <row r="265" spans="2:7" ht="12.75">
      <c r="B265" s="157"/>
      <c r="G265" s="158"/>
    </row>
    <row r="266" spans="2:7" ht="12.75">
      <c r="B266" s="157"/>
      <c r="G266" s="158"/>
    </row>
    <row r="267" spans="2:7" ht="12.75">
      <c r="B267" s="157"/>
      <c r="G267" s="158"/>
    </row>
    <row r="268" spans="2:7" ht="12.75">
      <c r="B268" s="157"/>
      <c r="G268" s="158"/>
    </row>
    <row r="269" spans="2:7" ht="12.75">
      <c r="B269" s="157"/>
      <c r="G269" s="158"/>
    </row>
    <row r="270" spans="2:7" ht="12.75">
      <c r="B270" s="157"/>
      <c r="G270" s="158"/>
    </row>
    <row r="271" spans="2:7" ht="12.75">
      <c r="B271" s="157"/>
      <c r="G271" s="158"/>
    </row>
    <row r="272" spans="2:7" ht="12.75">
      <c r="B272" s="157"/>
      <c r="G272" s="158"/>
    </row>
    <row r="273" spans="2:7" ht="12.75">
      <c r="B273" s="157"/>
      <c r="G273" s="158"/>
    </row>
    <row r="274" spans="2:7" ht="12.75">
      <c r="B274" s="157"/>
      <c r="G274" s="158"/>
    </row>
    <row r="275" spans="2:7" ht="12.75">
      <c r="B275" s="157"/>
      <c r="G275" s="158"/>
    </row>
    <row r="276" spans="2:7" ht="12.75">
      <c r="B276" s="157"/>
      <c r="G276" s="158"/>
    </row>
    <row r="277" spans="2:7" ht="12.75">
      <c r="B277" s="157"/>
      <c r="G277" s="158"/>
    </row>
    <row r="278" spans="2:7" ht="12.75">
      <c r="B278" s="157"/>
      <c r="G278" s="158"/>
    </row>
    <row r="279" spans="2:7" ht="12.75">
      <c r="B279" s="157"/>
      <c r="G279" s="158"/>
    </row>
    <row r="280" spans="2:7" ht="12.75">
      <c r="B280" s="157"/>
      <c r="G280" s="158"/>
    </row>
    <row r="281" spans="2:7" ht="12.75">
      <c r="B281" s="157"/>
      <c r="G281" s="158"/>
    </row>
    <row r="282" spans="2:7" ht="12.75">
      <c r="B282" s="157"/>
      <c r="G282" s="158"/>
    </row>
    <row r="283" spans="2:7" ht="12.75">
      <c r="B283" s="157"/>
      <c r="G283" s="158"/>
    </row>
    <row r="284" spans="2:7" ht="12.75">
      <c r="B284" s="157"/>
      <c r="G284" s="158"/>
    </row>
    <row r="285" spans="2:7" ht="12.75">
      <c r="B285" s="157"/>
      <c r="G285" s="158"/>
    </row>
    <row r="286" spans="2:7" ht="12.75">
      <c r="B286" s="157"/>
      <c r="G286" s="158"/>
    </row>
    <row r="287" spans="2:7" ht="12.75">
      <c r="B287" s="157"/>
      <c r="G287" s="158"/>
    </row>
    <row r="288" spans="2:7" ht="12.75">
      <c r="B288" s="157"/>
      <c r="G288" s="158"/>
    </row>
    <row r="289" spans="2:7" ht="12.75">
      <c r="B289" s="157"/>
      <c r="G289" s="158"/>
    </row>
    <row r="290" spans="2:7" ht="12.75">
      <c r="B290" s="157"/>
      <c r="G290" s="158"/>
    </row>
    <row r="291" spans="2:7" ht="12.75">
      <c r="B291" s="157"/>
      <c r="G291" s="158"/>
    </row>
    <row r="292" spans="2:7" ht="12.75">
      <c r="B292" s="157"/>
      <c r="G292" s="158"/>
    </row>
    <row r="293" spans="2:7" ht="12.75">
      <c r="B293" s="157"/>
      <c r="G293" s="158"/>
    </row>
    <row r="294" spans="2:7" ht="12.75">
      <c r="B294" s="157"/>
      <c r="G294" s="158"/>
    </row>
    <row r="295" spans="2:7" ht="12.75">
      <c r="B295" s="157"/>
      <c r="G295" s="158"/>
    </row>
    <row r="296" spans="2:7" ht="12.75">
      <c r="B296" s="157"/>
      <c r="G296" s="158"/>
    </row>
    <row r="297" spans="2:7" ht="12.75">
      <c r="B297" s="157"/>
      <c r="G297" s="158"/>
    </row>
    <row r="298" spans="2:7" ht="12.75">
      <c r="B298" s="157"/>
      <c r="G298" s="158"/>
    </row>
    <row r="299" spans="2:7" ht="12.75">
      <c r="B299" s="157"/>
      <c r="G299" s="158"/>
    </row>
    <row r="300" spans="2:7" ht="12.75">
      <c r="B300" s="157"/>
      <c r="G300" s="158"/>
    </row>
    <row r="301" spans="2:7" ht="12.75">
      <c r="B301" s="157"/>
      <c r="G301" s="158"/>
    </row>
    <row r="302" spans="2:7" ht="12.75">
      <c r="B302" s="157"/>
      <c r="G302" s="158"/>
    </row>
    <row r="303" spans="2:7" ht="12.75">
      <c r="B303" s="157"/>
      <c r="G303" s="158"/>
    </row>
    <row r="304" spans="2:7" ht="12.75">
      <c r="B304" s="157"/>
      <c r="G304" s="158"/>
    </row>
    <row r="305" spans="2:7" ht="12.75">
      <c r="B305" s="157"/>
      <c r="G305" s="158"/>
    </row>
    <row r="306" spans="2:7" ht="12.75">
      <c r="B306" s="157"/>
      <c r="G306" s="158"/>
    </row>
    <row r="307" spans="2:7" ht="12.75">
      <c r="B307" s="157"/>
      <c r="G307" s="158"/>
    </row>
    <row r="308" spans="2:7" ht="12.75">
      <c r="B308" s="157"/>
      <c r="G308" s="158"/>
    </row>
    <row r="309" spans="2:7" ht="12.75">
      <c r="B309" s="157"/>
      <c r="G309" s="158"/>
    </row>
    <row r="310" spans="2:7" ht="12.75">
      <c r="B310" s="157"/>
      <c r="G310" s="158"/>
    </row>
    <row r="311" spans="2:7" ht="12.75">
      <c r="B311" s="157"/>
      <c r="G311" s="158"/>
    </row>
    <row r="312" spans="2:7" ht="12.75">
      <c r="B312" s="157"/>
      <c r="G312" s="158"/>
    </row>
    <row r="313" spans="2:7" ht="12.75">
      <c r="B313" s="157"/>
      <c r="G313" s="158"/>
    </row>
    <row r="314" spans="2:7" ht="12.75">
      <c r="B314" s="157"/>
      <c r="G314" s="158"/>
    </row>
    <row r="315" spans="2:7" ht="12.75">
      <c r="B315" s="157"/>
      <c r="G315" s="158"/>
    </row>
    <row r="316" spans="2:7" ht="12.75">
      <c r="B316" s="157"/>
      <c r="G316" s="158"/>
    </row>
    <row r="317" spans="2:7" ht="12.75">
      <c r="B317" s="157"/>
      <c r="G317" s="158"/>
    </row>
    <row r="318" spans="2:7" ht="12.75">
      <c r="B318" s="157"/>
      <c r="G318" s="158"/>
    </row>
    <row r="319" spans="2:7" ht="12.75">
      <c r="B319" s="157"/>
      <c r="G319" s="158"/>
    </row>
    <row r="320" spans="2:7" ht="12.75">
      <c r="B320" s="157"/>
      <c r="G320" s="158"/>
    </row>
    <row r="321" spans="2:7" ht="12.75">
      <c r="B321" s="157"/>
      <c r="G321" s="158"/>
    </row>
    <row r="322" spans="2:7" ht="12.75">
      <c r="B322" s="157"/>
      <c r="G322" s="158"/>
    </row>
    <row r="323" spans="2:7" ht="12.75">
      <c r="B323" s="157"/>
      <c r="G323" s="158"/>
    </row>
    <row r="324" spans="2:7" ht="12.75">
      <c r="B324" s="157"/>
      <c r="G324" s="158"/>
    </row>
    <row r="325" spans="2:7" ht="12.75">
      <c r="B325" s="157"/>
      <c r="G325" s="158"/>
    </row>
    <row r="326" spans="2:7" ht="12.75">
      <c r="B326" s="157"/>
      <c r="G326" s="158"/>
    </row>
    <row r="327" spans="2:7" ht="12.75">
      <c r="B327" s="157"/>
      <c r="G327" s="158"/>
    </row>
    <row r="328" spans="2:7" ht="12.75">
      <c r="B328" s="157"/>
      <c r="G328" s="158"/>
    </row>
    <row r="329" spans="2:7" ht="12.75">
      <c r="B329" s="157"/>
      <c r="G329" s="158"/>
    </row>
    <row r="330" spans="2:7" ht="12.75">
      <c r="B330" s="157"/>
      <c r="G330" s="158"/>
    </row>
    <row r="331" spans="2:7" ht="12.75">
      <c r="B331" s="157"/>
      <c r="G331" s="158"/>
    </row>
    <row r="332" spans="2:7" ht="12.75">
      <c r="B332" s="157"/>
      <c r="G332" s="158"/>
    </row>
    <row r="333" spans="2:7" ht="12.75">
      <c r="B333" s="157"/>
      <c r="G333" s="158"/>
    </row>
    <row r="334" spans="2:7" ht="12.75">
      <c r="B334" s="157"/>
      <c r="G334" s="158"/>
    </row>
    <row r="335" spans="2:7" ht="12.75">
      <c r="B335" s="157"/>
      <c r="G335" s="158"/>
    </row>
    <row r="336" spans="2:7" ht="12.75">
      <c r="B336" s="157"/>
      <c r="G336" s="158"/>
    </row>
    <row r="337" spans="2:7" ht="12.75">
      <c r="B337" s="157"/>
      <c r="G337" s="158"/>
    </row>
    <row r="338" spans="2:7" ht="12.75">
      <c r="B338" s="157"/>
      <c r="G338" s="158"/>
    </row>
    <row r="339" spans="2:7" ht="12.75">
      <c r="B339" s="157"/>
      <c r="G339" s="158"/>
    </row>
    <row r="340" spans="2:7" ht="12.75">
      <c r="B340" s="157"/>
      <c r="G340" s="158"/>
    </row>
    <row r="341" spans="2:7" ht="12.75">
      <c r="B341" s="157"/>
      <c r="G341" s="158"/>
    </row>
    <row r="342" spans="2:7" ht="12.75">
      <c r="B342" s="157"/>
      <c r="G342" s="158"/>
    </row>
    <row r="343" spans="2:7" ht="12.75">
      <c r="B343" s="157"/>
      <c r="G343" s="158"/>
    </row>
    <row r="344" spans="2:7" ht="12.75">
      <c r="B344" s="157"/>
      <c r="G344" s="158"/>
    </row>
    <row r="345" spans="2:7" ht="12.75">
      <c r="B345" s="157"/>
      <c r="G345" s="158"/>
    </row>
    <row r="346" spans="2:7" ht="12.75">
      <c r="B346" s="157"/>
      <c r="G346" s="158"/>
    </row>
    <row r="347" spans="2:7" ht="12.75">
      <c r="B347" s="157"/>
      <c r="G347" s="158"/>
    </row>
    <row r="348" spans="2:7" ht="12.75">
      <c r="B348" s="157"/>
      <c r="G348" s="158"/>
    </row>
    <row r="349" spans="2:7" ht="12.75">
      <c r="B349" s="157"/>
      <c r="G349" s="158"/>
    </row>
    <row r="350" spans="2:7" ht="12.75">
      <c r="B350" s="157"/>
      <c r="G350" s="158"/>
    </row>
    <row r="351" spans="2:7" ht="12.75">
      <c r="B351" s="157"/>
      <c r="G351" s="158"/>
    </row>
    <row r="352" spans="2:7" ht="12.75">
      <c r="B352" s="157"/>
      <c r="G352" s="158"/>
    </row>
    <row r="353" spans="2:7" ht="12.75">
      <c r="B353" s="157"/>
      <c r="G353" s="158"/>
    </row>
    <row r="354" spans="2:7" ht="12.75">
      <c r="B354" s="157"/>
      <c r="G354" s="158"/>
    </row>
    <row r="355" spans="2:7" ht="12.75">
      <c r="B355" s="157"/>
      <c r="G355" s="158"/>
    </row>
    <row r="356" spans="2:7" ht="12.75">
      <c r="B356" s="157"/>
      <c r="G356" s="158"/>
    </row>
    <row r="357" spans="2:7" ht="12.75">
      <c r="B357" s="157"/>
      <c r="G357" s="158"/>
    </row>
    <row r="358" spans="2:7" ht="12.75">
      <c r="B358" s="157"/>
      <c r="G358" s="158"/>
    </row>
    <row r="359" spans="2:7" ht="12.75">
      <c r="B359" s="157"/>
      <c r="G359" s="158"/>
    </row>
    <row r="360" spans="2:7" ht="12.75">
      <c r="B360" s="157"/>
      <c r="G360" s="158"/>
    </row>
    <row r="361" spans="2:7" ht="12.75">
      <c r="B361" s="157"/>
      <c r="G361" s="158"/>
    </row>
    <row r="362" spans="2:7" ht="12.75">
      <c r="B362" s="157"/>
      <c r="G362" s="158"/>
    </row>
    <row r="363" spans="2:7" ht="12.75">
      <c r="B363" s="157"/>
      <c r="G363" s="158"/>
    </row>
    <row r="364" spans="2:7" ht="12.75">
      <c r="B364" s="157"/>
      <c r="G364" s="158"/>
    </row>
    <row r="365" spans="2:7" ht="12.75">
      <c r="B365" s="157"/>
      <c r="G365" s="158"/>
    </row>
    <row r="366" spans="2:7" ht="12.75">
      <c r="B366" s="157"/>
      <c r="G366" s="158"/>
    </row>
    <row r="367" spans="2:7" ht="12.75">
      <c r="B367" s="157"/>
      <c r="G367" s="158"/>
    </row>
    <row r="368" spans="2:7" ht="12.75">
      <c r="B368" s="157"/>
      <c r="G368" s="158"/>
    </row>
    <row r="369" spans="2:7" ht="12.75">
      <c r="B369" s="157"/>
      <c r="G369" s="158"/>
    </row>
    <row r="370" spans="2:7" ht="12.75">
      <c r="B370" s="157"/>
      <c r="G370" s="158"/>
    </row>
    <row r="371" spans="2:7" ht="12.75">
      <c r="B371" s="157"/>
      <c r="G371" s="158"/>
    </row>
    <row r="372" spans="2:7" ht="12.75">
      <c r="B372" s="157"/>
      <c r="G372" s="158"/>
    </row>
    <row r="373" spans="2:7" ht="12.75">
      <c r="B373" s="157"/>
      <c r="G373" s="158"/>
    </row>
    <row r="374" spans="2:7" ht="12.75">
      <c r="B374" s="157"/>
      <c r="G374" s="158"/>
    </row>
    <row r="375" spans="2:7" ht="12.75">
      <c r="B375" s="157"/>
      <c r="G375" s="158"/>
    </row>
    <row r="376" spans="2:7" ht="12.75">
      <c r="B376" s="157"/>
      <c r="G376" s="158"/>
    </row>
    <row r="377" spans="2:7" ht="12.75">
      <c r="B377" s="157"/>
      <c r="G377" s="158"/>
    </row>
    <row r="378" spans="2:7" ht="12.75">
      <c r="B378" s="157"/>
      <c r="G378" s="158"/>
    </row>
    <row r="379" spans="2:7" ht="12.75">
      <c r="B379" s="157"/>
      <c r="G379" s="158"/>
    </row>
    <row r="380" spans="2:7" ht="12.75">
      <c r="B380" s="157"/>
      <c r="G380" s="158"/>
    </row>
    <row r="381" spans="2:7" ht="12.75">
      <c r="B381" s="157"/>
      <c r="G381" s="158"/>
    </row>
    <row r="382" spans="2:7" ht="12.75">
      <c r="B382" s="157"/>
      <c r="G382" s="158"/>
    </row>
    <row r="383" spans="2:7" ht="12.75">
      <c r="B383" s="157"/>
      <c r="G383" s="158"/>
    </row>
    <row r="384" spans="2:7" ht="12.75">
      <c r="B384" s="157"/>
      <c r="G384" s="158"/>
    </row>
    <row r="385" spans="2:7" ht="12.75">
      <c r="B385" s="157"/>
      <c r="G385" s="158"/>
    </row>
    <row r="386" spans="2:7" ht="12.75">
      <c r="B386" s="157"/>
      <c r="G386" s="158"/>
    </row>
    <row r="387" spans="2:7" ht="12.75">
      <c r="B387" s="157"/>
      <c r="G387" s="158"/>
    </row>
    <row r="388" spans="2:7" ht="12.75">
      <c r="B388" s="157"/>
      <c r="G388" s="158"/>
    </row>
    <row r="389" spans="2:7" ht="12.75">
      <c r="B389" s="157"/>
      <c r="G389" s="158"/>
    </row>
    <row r="390" spans="2:7" ht="12.75">
      <c r="B390" s="157"/>
      <c r="G390" s="158"/>
    </row>
    <row r="391" spans="2:7" ht="12.75">
      <c r="B391" s="157"/>
      <c r="G391" s="158"/>
    </row>
    <row r="392" spans="2:7" ht="12.75">
      <c r="B392" s="157"/>
      <c r="G392" s="158"/>
    </row>
    <row r="393" spans="2:7" ht="12.75">
      <c r="B393" s="157"/>
      <c r="G393" s="158"/>
    </row>
    <row r="394" spans="2:7" ht="12.75">
      <c r="B394" s="157"/>
      <c r="G394" s="158"/>
    </row>
    <row r="395" spans="2:7" ht="12.75">
      <c r="B395" s="157"/>
      <c r="G395" s="158"/>
    </row>
    <row r="396" spans="2:7" ht="12.75">
      <c r="B396" s="157"/>
      <c r="G396" s="158"/>
    </row>
    <row r="397" spans="2:7" ht="12.75">
      <c r="B397" s="157"/>
      <c r="G397" s="158"/>
    </row>
    <row r="398" spans="2:7" ht="12.75">
      <c r="B398" s="157"/>
      <c r="G398" s="158"/>
    </row>
    <row r="399" spans="2:7" ht="12.75">
      <c r="B399" s="157"/>
      <c r="G399" s="158"/>
    </row>
    <row r="400" spans="2:7" ht="12.75">
      <c r="B400" s="157"/>
      <c r="G400" s="158"/>
    </row>
    <row r="401" spans="2:7" ht="12.75">
      <c r="B401" s="157"/>
      <c r="G401" s="158"/>
    </row>
    <row r="402" spans="2:7" ht="12.75">
      <c r="B402" s="157"/>
      <c r="G402" s="158"/>
    </row>
    <row r="403" spans="2:7" ht="12.75">
      <c r="B403" s="157"/>
      <c r="G403" s="158"/>
    </row>
    <row r="404" spans="2:7" ht="12.75">
      <c r="B404" s="157"/>
      <c r="G404" s="158"/>
    </row>
    <row r="405" spans="2:7" ht="12.75">
      <c r="B405" s="157"/>
      <c r="G405" s="158"/>
    </row>
    <row r="406" spans="2:7" ht="12.75">
      <c r="B406" s="157"/>
      <c r="G406" s="158"/>
    </row>
    <row r="407" spans="2:7" ht="12.75">
      <c r="B407" s="157"/>
      <c r="G407" s="158"/>
    </row>
    <row r="408" spans="2:7" ht="12.75">
      <c r="B408" s="157"/>
      <c r="G408" s="158"/>
    </row>
    <row r="409" spans="2:7" ht="12.75">
      <c r="B409" s="157"/>
      <c r="G409" s="158"/>
    </row>
    <row r="410" spans="2:7" ht="12.75">
      <c r="B410" s="157"/>
      <c r="G410" s="158"/>
    </row>
    <row r="411" spans="2:7" ht="12.75">
      <c r="B411" s="157"/>
      <c r="G411" s="158"/>
    </row>
    <row r="412" spans="2:7" ht="12.75">
      <c r="B412" s="157"/>
      <c r="G412" s="158"/>
    </row>
    <row r="413" spans="2:7" ht="12.75">
      <c r="B413" s="157"/>
      <c r="G413" s="158"/>
    </row>
    <row r="414" spans="2:7" ht="12.75">
      <c r="B414" s="157"/>
      <c r="G414" s="158"/>
    </row>
    <row r="415" spans="2:7" ht="12.75">
      <c r="B415" s="157"/>
      <c r="G415" s="158"/>
    </row>
    <row r="416" spans="2:7" ht="12.75">
      <c r="B416" s="157"/>
      <c r="G416" s="158"/>
    </row>
    <row r="417" spans="2:7" ht="12.75">
      <c r="B417" s="157"/>
      <c r="G417" s="158"/>
    </row>
    <row r="418" spans="2:7" ht="12.75">
      <c r="B418" s="157"/>
      <c r="G418" s="158"/>
    </row>
    <row r="419" spans="2:7" ht="12.75">
      <c r="B419" s="157"/>
      <c r="G419" s="158"/>
    </row>
    <row r="420" spans="2:7" ht="12.75">
      <c r="B420" s="157"/>
      <c r="G420" s="158"/>
    </row>
    <row r="421" spans="2:7" ht="12.75">
      <c r="B421" s="157"/>
      <c r="G421" s="158"/>
    </row>
    <row r="422" spans="2:7" ht="12.75">
      <c r="B422" s="157"/>
      <c r="G422" s="158"/>
    </row>
    <row r="423" spans="2:7" ht="12.75">
      <c r="B423" s="157"/>
      <c r="G423" s="158"/>
    </row>
    <row r="424" spans="2:7" ht="12.75">
      <c r="B424" s="157"/>
      <c r="G424" s="158"/>
    </row>
    <row r="425" spans="2:7" ht="12.75">
      <c r="B425" s="157"/>
      <c r="G425" s="158"/>
    </row>
    <row r="426" spans="2:7" ht="12.75">
      <c r="B426" s="157"/>
      <c r="G426" s="158"/>
    </row>
    <row r="427" spans="2:7" ht="12.75">
      <c r="B427" s="157"/>
      <c r="G427" s="158"/>
    </row>
    <row r="428" spans="2:7" ht="12.75">
      <c r="B428" s="157"/>
      <c r="G428" s="158"/>
    </row>
    <row r="429" spans="2:7" ht="12.75">
      <c r="B429" s="157"/>
      <c r="G429" s="158"/>
    </row>
    <row r="430" spans="2:7" ht="12.75">
      <c r="B430" s="157"/>
      <c r="G430" s="158"/>
    </row>
    <row r="431" spans="2:7" ht="12.75">
      <c r="B431" s="157"/>
      <c r="G431" s="158"/>
    </row>
    <row r="432" spans="2:7" ht="12.75">
      <c r="B432" s="157"/>
      <c r="G432" s="158"/>
    </row>
    <row r="433" spans="2:7" ht="12.75">
      <c r="B433" s="157"/>
      <c r="G433" s="158"/>
    </row>
    <row r="434" spans="2:7" ht="12.75">
      <c r="B434" s="157"/>
      <c r="G434" s="158"/>
    </row>
    <row r="435" spans="2:7" ht="12.75">
      <c r="B435" s="157"/>
      <c r="G435" s="158"/>
    </row>
    <row r="436" spans="2:7" ht="12.75">
      <c r="B436" s="157"/>
      <c r="G436" s="158"/>
    </row>
    <row r="437" spans="2:7" ht="12.75">
      <c r="B437" s="157"/>
      <c r="G437" s="158"/>
    </row>
    <row r="438" spans="2:7" ht="12.75">
      <c r="B438" s="157"/>
      <c r="G438" s="158"/>
    </row>
    <row r="439" spans="2:7" ht="12.75">
      <c r="B439" s="157"/>
      <c r="G439" s="158"/>
    </row>
    <row r="440" spans="2:7" ht="12.75">
      <c r="B440" s="157"/>
      <c r="G440" s="158"/>
    </row>
    <row r="441" spans="2:7" ht="12.75">
      <c r="B441" s="157"/>
      <c r="G441" s="158"/>
    </row>
    <row r="442" spans="2:7" ht="12.75">
      <c r="B442" s="157"/>
      <c r="G442" s="158"/>
    </row>
    <row r="443" spans="2:7" ht="12.75">
      <c r="B443" s="157"/>
      <c r="G443" s="158"/>
    </row>
    <row r="444" spans="2:7" ht="12.75">
      <c r="B444" s="157"/>
      <c r="G444" s="158"/>
    </row>
    <row r="445" spans="2:7" ht="12.75">
      <c r="B445" s="157"/>
      <c r="G445" s="158"/>
    </row>
    <row r="446" spans="2:7" ht="12.75">
      <c r="B446" s="157"/>
      <c r="G446" s="158"/>
    </row>
    <row r="447" spans="2:7" ht="12.75">
      <c r="B447" s="157"/>
      <c r="G447" s="158"/>
    </row>
    <row r="448" spans="2:7" ht="12.75">
      <c r="B448" s="157"/>
      <c r="G448" s="158"/>
    </row>
    <row r="449" spans="2:7" ht="12.75">
      <c r="B449" s="157"/>
      <c r="G449" s="158"/>
    </row>
    <row r="450" spans="2:7" ht="12.75">
      <c r="B450" s="157"/>
      <c r="G450" s="158"/>
    </row>
    <row r="451" spans="2:7" ht="12.75">
      <c r="B451" s="157"/>
      <c r="G451" s="158"/>
    </row>
    <row r="452" spans="2:7" ht="12.75">
      <c r="B452" s="157"/>
      <c r="G452" s="158"/>
    </row>
    <row r="453" spans="2:7" ht="12.75">
      <c r="B453" s="157"/>
      <c r="G453" s="158"/>
    </row>
    <row r="454" spans="2:7" ht="12.75">
      <c r="B454" s="157"/>
      <c r="G454" s="158"/>
    </row>
    <row r="455" spans="2:7" ht="12.75">
      <c r="B455" s="157"/>
      <c r="G455" s="158"/>
    </row>
    <row r="456" spans="2:7" ht="12.75">
      <c r="B456" s="157"/>
      <c r="G456" s="158"/>
    </row>
    <row r="457" spans="2:7" ht="12.75">
      <c r="B457" s="157"/>
      <c r="G457" s="158"/>
    </row>
    <row r="458" spans="2:7" ht="12.75">
      <c r="B458" s="157"/>
      <c r="G458" s="158"/>
    </row>
    <row r="459" spans="2:7" ht="12.75">
      <c r="B459" s="157"/>
      <c r="G459" s="158"/>
    </row>
    <row r="460" spans="2:7" ht="12.75">
      <c r="B460" s="157"/>
      <c r="G460" s="158"/>
    </row>
    <row r="461" spans="2:7" ht="12.75">
      <c r="B461" s="157"/>
      <c r="G461" s="158"/>
    </row>
    <row r="462" spans="2:7" ht="12.75">
      <c r="B462" s="157"/>
      <c r="G462" s="158"/>
    </row>
    <row r="463" spans="2:7" ht="12.75">
      <c r="B463" s="157"/>
      <c r="G463" s="158"/>
    </row>
    <row r="464" spans="2:7" ht="12.75">
      <c r="B464" s="157"/>
      <c r="G464" s="158"/>
    </row>
    <row r="465" spans="2:7" ht="12.75">
      <c r="B465" s="157"/>
      <c r="G465" s="158"/>
    </row>
    <row r="466" spans="2:7" ht="12.75">
      <c r="B466" s="157"/>
      <c r="G466" s="158"/>
    </row>
    <row r="467" spans="2:7" ht="12.75">
      <c r="B467" s="157"/>
      <c r="G467" s="158"/>
    </row>
    <row r="468" spans="2:7" ht="12.75">
      <c r="B468" s="157"/>
      <c r="G468" s="158"/>
    </row>
    <row r="469" spans="2:7" ht="12.75">
      <c r="B469" s="157"/>
      <c r="G469" s="158"/>
    </row>
    <row r="470" spans="2:7" ht="12.75">
      <c r="B470" s="157"/>
      <c r="G470" s="158"/>
    </row>
    <row r="471" spans="2:7" ht="12.75">
      <c r="B471" s="157"/>
      <c r="G471" s="158"/>
    </row>
    <row r="472" spans="2:7" ht="12.75">
      <c r="B472" s="157"/>
      <c r="G472" s="158"/>
    </row>
    <row r="473" spans="2:7" ht="12.75">
      <c r="B473" s="157"/>
      <c r="G473" s="158"/>
    </row>
    <row r="474" spans="2:7" ht="12.75">
      <c r="B474" s="157"/>
      <c r="G474" s="158"/>
    </row>
    <row r="475" spans="2:7" ht="12.75">
      <c r="B475" s="157"/>
      <c r="G475" s="158"/>
    </row>
    <row r="476" spans="2:7" ht="12.75">
      <c r="B476" s="157"/>
      <c r="G476" s="158"/>
    </row>
    <row r="477" spans="2:7" ht="12.75">
      <c r="B477" s="157"/>
      <c r="G477" s="158"/>
    </row>
    <row r="478" spans="2:7" ht="12.75">
      <c r="B478" s="157"/>
      <c r="G478" s="158"/>
    </row>
    <row r="479" spans="2:7" ht="12.75">
      <c r="B479" s="157"/>
      <c r="G479" s="158"/>
    </row>
    <row r="480" spans="2:7" ht="12.75">
      <c r="B480" s="157"/>
      <c r="G480" s="158"/>
    </row>
    <row r="481" spans="2:7" ht="12.75">
      <c r="B481" s="157"/>
      <c r="G481" s="158"/>
    </row>
    <row r="482" spans="2:7" ht="12.75">
      <c r="B482" s="157"/>
      <c r="G482" s="158"/>
    </row>
    <row r="483" spans="2:7" ht="12.75">
      <c r="B483" s="157"/>
      <c r="G483" s="158"/>
    </row>
    <row r="484" spans="2:7" ht="12.75">
      <c r="B484" s="157"/>
      <c r="G484" s="158"/>
    </row>
    <row r="485" spans="2:7" ht="12.75">
      <c r="B485" s="157"/>
      <c r="G485" s="158"/>
    </row>
    <row r="486" spans="2:7" ht="12.75">
      <c r="B486" s="157"/>
      <c r="G486" s="158"/>
    </row>
    <row r="487" spans="2:7" ht="12.75">
      <c r="B487" s="157"/>
      <c r="G487" s="158"/>
    </row>
    <row r="488" spans="2:7" ht="12.75">
      <c r="B488" s="157"/>
      <c r="G488" s="158"/>
    </row>
    <row r="489" spans="2:7" ht="12.75">
      <c r="B489" s="157"/>
      <c r="G489" s="158"/>
    </row>
    <row r="490" spans="2:7" ht="12.75">
      <c r="B490" s="157"/>
      <c r="G490" s="158"/>
    </row>
    <row r="491" spans="2:7" ht="12.75">
      <c r="B491" s="157"/>
      <c r="G491" s="158"/>
    </row>
    <row r="492" spans="2:7" ht="12.75">
      <c r="B492" s="157"/>
      <c r="G492" s="158"/>
    </row>
    <row r="493" spans="2:7" ht="12.75">
      <c r="B493" s="157"/>
      <c r="G493" s="158"/>
    </row>
    <row r="494" spans="2:7" ht="12.75">
      <c r="B494" s="157"/>
      <c r="G494" s="158"/>
    </row>
    <row r="495" spans="2:7" ht="12.75">
      <c r="B495" s="157"/>
      <c r="G495" s="158"/>
    </row>
    <row r="496" spans="2:7" ht="12.75">
      <c r="B496" s="157"/>
      <c r="G496" s="158"/>
    </row>
    <row r="497" spans="2:7" ht="12.75">
      <c r="B497" s="157"/>
      <c r="G497" s="158"/>
    </row>
    <row r="498" spans="2:7" ht="12.75">
      <c r="B498" s="157"/>
      <c r="G498" s="158"/>
    </row>
    <row r="499" spans="2:7" ht="12.75">
      <c r="B499" s="157"/>
      <c r="G499" s="158"/>
    </row>
    <row r="500" spans="2:7" ht="12.75">
      <c r="B500" s="157"/>
      <c r="G500" s="158"/>
    </row>
    <row r="501" spans="2:7" ht="12.75">
      <c r="B501" s="157"/>
      <c r="G501" s="158"/>
    </row>
    <row r="502" spans="2:7" ht="12.75">
      <c r="B502" s="157"/>
      <c r="G502" s="158"/>
    </row>
    <row r="503" spans="2:7" ht="12.75">
      <c r="B503" s="157"/>
      <c r="G503" s="158"/>
    </row>
    <row r="504" spans="2:7" ht="12.75">
      <c r="B504" s="157"/>
      <c r="G504" s="158"/>
    </row>
    <row r="505" spans="2:7" ht="12.75">
      <c r="B505" s="157"/>
      <c r="G505" s="158"/>
    </row>
    <row r="506" spans="2:7" ht="12.75">
      <c r="B506" s="157"/>
      <c r="G506" s="158"/>
    </row>
    <row r="507" spans="2:7" ht="12.75">
      <c r="B507" s="157"/>
      <c r="G507" s="158"/>
    </row>
    <row r="508" spans="2:7" ht="12.75">
      <c r="B508" s="157"/>
      <c r="G508" s="158"/>
    </row>
    <row r="509" spans="2:7" ht="12.75">
      <c r="B509" s="157"/>
      <c r="G509" s="158"/>
    </row>
    <row r="510" spans="2:7" ht="12.75">
      <c r="B510" s="157"/>
      <c r="G510" s="158"/>
    </row>
    <row r="511" spans="2:7" ht="12.75">
      <c r="B511" s="157"/>
      <c r="G511" s="158"/>
    </row>
    <row r="512" spans="2:7" ht="12.75">
      <c r="B512" s="157"/>
      <c r="G512" s="158"/>
    </row>
    <row r="513" spans="2:7" ht="12.75">
      <c r="B513" s="157"/>
      <c r="G513" s="158"/>
    </row>
    <row r="514" spans="2:7" ht="12.75">
      <c r="B514" s="157"/>
      <c r="G514" s="158"/>
    </row>
    <row r="515" spans="2:7" ht="12.75">
      <c r="B515" s="157"/>
      <c r="G515" s="158"/>
    </row>
    <row r="516" spans="2:7" ht="12.75">
      <c r="B516" s="157"/>
      <c r="G516" s="158"/>
    </row>
    <row r="517" spans="2:7" ht="12.75">
      <c r="B517" s="157"/>
      <c r="G517" s="158"/>
    </row>
    <row r="518" spans="2:7" ht="12.75">
      <c r="B518" s="157"/>
      <c r="G518" s="158"/>
    </row>
    <row r="519" spans="2:7" ht="12.75">
      <c r="B519" s="157"/>
      <c r="G519" s="158"/>
    </row>
    <row r="520" spans="2:7" ht="12.75">
      <c r="B520" s="157"/>
      <c r="G520" s="158"/>
    </row>
    <row r="521" spans="2:7" ht="12.75">
      <c r="B521" s="157"/>
      <c r="G521" s="158"/>
    </row>
    <row r="522" spans="2:7" ht="12.75">
      <c r="B522" s="157"/>
      <c r="G522" s="158"/>
    </row>
    <row r="523" spans="2:7" ht="12.75">
      <c r="B523" s="157"/>
      <c r="G523" s="158"/>
    </row>
    <row r="524" spans="2:7" ht="12.75">
      <c r="B524" s="157"/>
      <c r="G524" s="158"/>
    </row>
    <row r="525" spans="2:7" ht="12.75">
      <c r="B525" s="157"/>
      <c r="G525" s="158"/>
    </row>
    <row r="526" spans="2:7" ht="12.75">
      <c r="B526" s="157"/>
      <c r="G526" s="158"/>
    </row>
    <row r="527" spans="2:7" ht="12.75">
      <c r="B527" s="157"/>
      <c r="G527" s="158"/>
    </row>
    <row r="528" spans="2:7" ht="12.75">
      <c r="B528" s="157"/>
      <c r="G528" s="158"/>
    </row>
    <row r="529" spans="2:7" ht="12.75">
      <c r="B529" s="157"/>
      <c r="G529" s="158"/>
    </row>
    <row r="530" spans="2:7" ht="12.75">
      <c r="B530" s="157"/>
      <c r="G530" s="158"/>
    </row>
    <row r="531" spans="2:7" ht="12.75">
      <c r="B531" s="157"/>
      <c r="G531" s="158"/>
    </row>
    <row r="532" spans="2:7" ht="12.75">
      <c r="B532" s="157"/>
      <c r="G532" s="158"/>
    </row>
    <row r="533" spans="2:7" ht="12.75">
      <c r="B533" s="157"/>
      <c r="G533" s="158"/>
    </row>
    <row r="534" spans="2:7" ht="12.75">
      <c r="B534" s="157"/>
      <c r="G534" s="158"/>
    </row>
    <row r="535" spans="2:7" ht="12.75">
      <c r="B535" s="157"/>
      <c r="G535" s="158"/>
    </row>
    <row r="536" spans="2:7" ht="12.75">
      <c r="B536" s="157"/>
      <c r="G536" s="158"/>
    </row>
    <row r="537" spans="2:7" ht="12.75">
      <c r="B537" s="157"/>
      <c r="G537" s="158"/>
    </row>
    <row r="538" spans="2:7" ht="12.75">
      <c r="B538" s="157"/>
      <c r="G538" s="158"/>
    </row>
    <row r="539" spans="2:7" ht="12.75">
      <c r="B539" s="157"/>
      <c r="G539" s="158"/>
    </row>
    <row r="540" spans="2:7" ht="12.75">
      <c r="B540" s="157"/>
      <c r="G540" s="158"/>
    </row>
    <row r="541" spans="2:7" ht="12.75">
      <c r="B541" s="157"/>
      <c r="G541" s="158"/>
    </row>
    <row r="542" spans="2:7" ht="12.75">
      <c r="B542" s="157"/>
      <c r="G542" s="158"/>
    </row>
    <row r="543" spans="2:7" ht="12.75">
      <c r="B543" s="157"/>
      <c r="G543" s="158"/>
    </row>
    <row r="544" spans="2:7" ht="12.75">
      <c r="B544" s="157"/>
      <c r="G544" s="158"/>
    </row>
    <row r="545" spans="2:7" ht="12.75">
      <c r="B545" s="157"/>
      <c r="G545" s="158"/>
    </row>
    <row r="546" spans="2:7" ht="12.75">
      <c r="B546" s="157"/>
      <c r="G546" s="158"/>
    </row>
    <row r="547" spans="2:7" ht="12.75">
      <c r="B547" s="157"/>
      <c r="G547" s="158"/>
    </row>
    <row r="548" spans="2:7" ht="12.75">
      <c r="B548" s="157"/>
      <c r="G548" s="158"/>
    </row>
    <row r="549" spans="2:7" ht="12.75">
      <c r="B549" s="157"/>
      <c r="G549" s="158"/>
    </row>
    <row r="550" spans="2:7" ht="12.75">
      <c r="B550" s="157"/>
      <c r="G550" s="158"/>
    </row>
    <row r="551" spans="2:7" ht="12.75">
      <c r="B551" s="157"/>
      <c r="G551" s="158"/>
    </row>
    <row r="552" spans="2:7" ht="12.75">
      <c r="B552" s="157"/>
      <c r="G552" s="158"/>
    </row>
    <row r="553" spans="2:7" ht="12.75">
      <c r="B553" s="157"/>
      <c r="G553" s="158"/>
    </row>
    <row r="554" spans="2:7" ht="12.75">
      <c r="B554" s="157"/>
      <c r="G554" s="158"/>
    </row>
    <row r="555" spans="2:7" ht="12.75">
      <c r="B555" s="157"/>
      <c r="G555" s="158"/>
    </row>
    <row r="556" spans="2:7" ht="12.75">
      <c r="B556" s="157"/>
      <c r="G556" s="158"/>
    </row>
    <row r="557" spans="2:7" ht="12.75">
      <c r="B557" s="157"/>
      <c r="G557" s="158"/>
    </row>
    <row r="558" spans="2:7" ht="12.75">
      <c r="B558" s="157"/>
      <c r="G558" s="158"/>
    </row>
    <row r="559" spans="2:7" ht="12.75">
      <c r="B559" s="157"/>
      <c r="G559" s="158"/>
    </row>
    <row r="560" spans="2:7" ht="12.75">
      <c r="B560" s="157"/>
      <c r="G560" s="158"/>
    </row>
    <row r="561" spans="2:7" ht="12.75">
      <c r="B561" s="157"/>
      <c r="G561" s="158"/>
    </row>
    <row r="562" spans="2:7" ht="12.75">
      <c r="B562" s="157"/>
      <c r="G562" s="158"/>
    </row>
    <row r="563" spans="2:7" ht="12.75">
      <c r="B563" s="157"/>
      <c r="G563" s="158"/>
    </row>
    <row r="564" spans="2:7" ht="12.75">
      <c r="B564" s="157"/>
      <c r="G564" s="158"/>
    </row>
    <row r="565" spans="2:7" ht="12.75">
      <c r="B565" s="157"/>
      <c r="G565" s="158"/>
    </row>
    <row r="566" spans="2:7" ht="12.75">
      <c r="B566" s="157"/>
      <c r="G566" s="158"/>
    </row>
    <row r="567" spans="2:7" ht="12.75">
      <c r="B567" s="157"/>
      <c r="G567" s="158"/>
    </row>
    <row r="568" spans="2:7" ht="12.75">
      <c r="B568" s="157"/>
      <c r="G568" s="158"/>
    </row>
    <row r="569" spans="2:7" ht="12.75">
      <c r="B569" s="157"/>
      <c r="G569" s="158"/>
    </row>
    <row r="570" spans="2:7" ht="12.75">
      <c r="B570" s="157"/>
      <c r="G570" s="158"/>
    </row>
    <row r="571" spans="2:7" ht="12.75">
      <c r="B571" s="157"/>
      <c r="G571" s="158"/>
    </row>
    <row r="572" spans="2:7" ht="12.75">
      <c r="B572" s="157"/>
      <c r="G572" s="158"/>
    </row>
    <row r="573" spans="2:7" ht="12.75">
      <c r="B573" s="157"/>
      <c r="G573" s="158"/>
    </row>
    <row r="574" spans="2:7" ht="12.75">
      <c r="B574" s="157"/>
      <c r="G574" s="158"/>
    </row>
    <row r="575" spans="2:7" ht="12.75">
      <c r="B575" s="157"/>
      <c r="G575" s="158"/>
    </row>
    <row r="576" spans="2:7" ht="12.75">
      <c r="B576" s="157"/>
      <c r="G576" s="158"/>
    </row>
    <row r="577" spans="2:7" ht="12.75">
      <c r="B577" s="157"/>
      <c r="G577" s="158"/>
    </row>
    <row r="578" spans="2:7" ht="12.75">
      <c r="B578" s="157"/>
      <c r="G578" s="158"/>
    </row>
    <row r="579" spans="2:7" ht="12.75">
      <c r="B579" s="157"/>
      <c r="G579" s="158"/>
    </row>
    <row r="580" spans="2:7" ht="12.75">
      <c r="B580" s="157"/>
      <c r="G580" s="158"/>
    </row>
    <row r="581" spans="2:7" ht="12.75">
      <c r="B581" s="157"/>
      <c r="G581" s="158"/>
    </row>
    <row r="582" spans="2:7" ht="12.75">
      <c r="B582" s="157"/>
      <c r="G582" s="158"/>
    </row>
    <row r="583" spans="2:7" ht="12.75">
      <c r="B583" s="157"/>
      <c r="G583" s="158"/>
    </row>
    <row r="584" spans="2:7" ht="12.75">
      <c r="B584" s="157"/>
      <c r="G584" s="158"/>
    </row>
    <row r="585" spans="2:7" ht="12.75">
      <c r="B585" s="157"/>
      <c r="G585" s="158"/>
    </row>
    <row r="586" spans="2:7" ht="12.75">
      <c r="B586" s="157"/>
      <c r="G586" s="158"/>
    </row>
    <row r="587" spans="2:7" ht="12.75">
      <c r="B587" s="157"/>
      <c r="G587" s="158"/>
    </row>
    <row r="588" spans="2:7" ht="12.75">
      <c r="B588" s="157"/>
      <c r="G588" s="158"/>
    </row>
    <row r="589" spans="2:7" ht="12.75">
      <c r="B589" s="157"/>
      <c r="G589" s="158"/>
    </row>
    <row r="590" spans="2:7" ht="12.75">
      <c r="B590" s="157"/>
      <c r="G590" s="158"/>
    </row>
    <row r="591" spans="2:7" ht="12.75">
      <c r="B591" s="157"/>
      <c r="G591" s="158"/>
    </row>
    <row r="592" spans="2:7" ht="12.75">
      <c r="B592" s="157"/>
      <c r="G592" s="158"/>
    </row>
    <row r="593" spans="2:7" ht="12.75">
      <c r="B593" s="157"/>
      <c r="G593" s="158"/>
    </row>
    <row r="594" spans="2:7" ht="12.75">
      <c r="B594" s="157"/>
      <c r="G594" s="158"/>
    </row>
    <row r="595" spans="2:7" ht="12.75">
      <c r="B595" s="157"/>
      <c r="G595" s="158"/>
    </row>
    <row r="596" spans="2:7" ht="12.75">
      <c r="B596" s="157"/>
      <c r="G596" s="158"/>
    </row>
    <row r="597" spans="2:7" ht="12.75">
      <c r="B597" s="157"/>
      <c r="G597" s="158"/>
    </row>
    <row r="598" spans="2:7" ht="12.75">
      <c r="B598" s="157"/>
      <c r="G598" s="158"/>
    </row>
    <row r="599" spans="2:7" ht="12.75">
      <c r="B599" s="157"/>
      <c r="G599" s="158"/>
    </row>
    <row r="600" spans="2:7" ht="12.75">
      <c r="B600" s="157"/>
      <c r="G600" s="158"/>
    </row>
    <row r="601" spans="2:7" ht="12.75">
      <c r="B601" s="157"/>
      <c r="G601" s="158"/>
    </row>
    <row r="602" spans="2:7" ht="12.75">
      <c r="B602" s="157"/>
      <c r="G602" s="158"/>
    </row>
    <row r="603" spans="2:7" ht="12.75">
      <c r="B603" s="157"/>
      <c r="G603" s="158"/>
    </row>
    <row r="604" spans="2:7" ht="12.75">
      <c r="B604" s="157"/>
      <c r="G604" s="158"/>
    </row>
    <row r="605" spans="2:7" ht="12.75">
      <c r="B605" s="157"/>
      <c r="G605" s="158"/>
    </row>
    <row r="606" spans="2:7" ht="12.75">
      <c r="B606" s="157"/>
      <c r="G606" s="158"/>
    </row>
    <row r="607" spans="2:7" ht="12.75">
      <c r="B607" s="157"/>
      <c r="G607" s="158"/>
    </row>
    <row r="608" spans="2:7" ht="12.75">
      <c r="B608" s="157"/>
      <c r="G608" s="158"/>
    </row>
    <row r="609" spans="2:7" ht="12.75">
      <c r="B609" s="157"/>
      <c r="G609" s="158"/>
    </row>
    <row r="610" spans="2:7" ht="12.75">
      <c r="B610" s="157"/>
      <c r="G610" s="158"/>
    </row>
    <row r="611" spans="2:7" ht="12.75">
      <c r="B611" s="157"/>
      <c r="G611" s="158"/>
    </row>
    <row r="612" spans="2:7" ht="12.75">
      <c r="B612" s="157"/>
      <c r="G612" s="158"/>
    </row>
    <row r="613" spans="2:7" ht="12.75">
      <c r="B613" s="157"/>
      <c r="G613" s="158"/>
    </row>
    <row r="614" spans="2:7" ht="12.75">
      <c r="B614" s="157"/>
      <c r="G614" s="158"/>
    </row>
    <row r="615" spans="2:7" ht="12.75">
      <c r="B615" s="157"/>
      <c r="G615" s="158"/>
    </row>
    <row r="616" spans="2:7" ht="12.75">
      <c r="B616" s="157"/>
      <c r="G616" s="158"/>
    </row>
    <row r="617" spans="2:7" ht="12.75">
      <c r="B617" s="157"/>
      <c r="G617" s="158"/>
    </row>
    <row r="618" spans="2:7" ht="12.75">
      <c r="B618" s="157"/>
      <c r="G618" s="158"/>
    </row>
    <row r="619" spans="2:7" ht="12.75">
      <c r="B619" s="157"/>
      <c r="G619" s="158"/>
    </row>
    <row r="620" spans="2:7" ht="12.75">
      <c r="B620" s="157"/>
      <c r="G620" s="158"/>
    </row>
    <row r="621" spans="2:7" ht="12.75">
      <c r="B621" s="157"/>
      <c r="G621" s="158"/>
    </row>
    <row r="622" spans="2:7" ht="12.75">
      <c r="B622" s="157"/>
      <c r="G622" s="158"/>
    </row>
    <row r="623" spans="2:7" ht="12.75">
      <c r="B623" s="157"/>
      <c r="G623" s="158"/>
    </row>
    <row r="624" spans="2:7" ht="12.75">
      <c r="B624" s="157"/>
      <c r="G624" s="158"/>
    </row>
    <row r="625" spans="2:7" ht="12.75">
      <c r="B625" s="157"/>
      <c r="G625" s="158"/>
    </row>
    <row r="626" spans="2:7" ht="12.75">
      <c r="B626" s="157"/>
      <c r="G626" s="158"/>
    </row>
    <row r="627" spans="2:7" ht="12.75">
      <c r="B627" s="157"/>
      <c r="G627" s="158"/>
    </row>
    <row r="628" spans="2:7" ht="12.75">
      <c r="B628" s="157"/>
      <c r="G628" s="158"/>
    </row>
    <row r="629" spans="2:7" ht="12.75">
      <c r="B629" s="157"/>
      <c r="G629" s="158"/>
    </row>
    <row r="630" spans="2:7" ht="12.75">
      <c r="B630" s="157"/>
      <c r="G630" s="158"/>
    </row>
    <row r="631" spans="2:7" ht="12.75">
      <c r="B631" s="157"/>
      <c r="G631" s="158"/>
    </row>
    <row r="632" spans="2:7" ht="12.75">
      <c r="B632" s="157"/>
      <c r="G632" s="158"/>
    </row>
    <row r="633" spans="2:7" ht="12.75">
      <c r="B633" s="157"/>
      <c r="G633" s="158"/>
    </row>
    <row r="634" spans="2:7" ht="12.75">
      <c r="B634" s="157"/>
      <c r="G634" s="158"/>
    </row>
    <row r="635" spans="2:7" ht="12.75">
      <c r="B635" s="157"/>
      <c r="G635" s="158"/>
    </row>
    <row r="636" spans="2:7" ht="12.75">
      <c r="B636" s="157"/>
      <c r="G636" s="158"/>
    </row>
    <row r="637" spans="2:7" ht="12.75">
      <c r="B637" s="157"/>
      <c r="G637" s="158"/>
    </row>
    <row r="638" spans="2:7" ht="12.75">
      <c r="B638" s="157"/>
      <c r="G638" s="158"/>
    </row>
    <row r="639" spans="2:7" ht="12.75">
      <c r="B639" s="157"/>
      <c r="G639" s="158"/>
    </row>
    <row r="640" spans="2:7" ht="12.75">
      <c r="B640" s="157"/>
      <c r="G640" s="158"/>
    </row>
    <row r="641" spans="2:7" ht="12.75">
      <c r="B641" s="157"/>
      <c r="G641" s="158"/>
    </row>
    <row r="642" spans="2:7" ht="12.75">
      <c r="B642" s="157"/>
      <c r="G642" s="158"/>
    </row>
    <row r="643" spans="2:7" ht="12.75">
      <c r="B643" s="157"/>
      <c r="G643" s="158"/>
    </row>
    <row r="644" spans="2:7" ht="12.75">
      <c r="B644" s="157"/>
      <c r="G644" s="158"/>
    </row>
    <row r="645" spans="2:7" ht="12.75">
      <c r="B645" s="157"/>
      <c r="G645" s="158"/>
    </row>
    <row r="646" spans="2:7" ht="12.75">
      <c r="B646" s="157"/>
      <c r="G646" s="158"/>
    </row>
    <row r="647" spans="2:7" ht="12.75">
      <c r="B647" s="157"/>
      <c r="G647" s="158"/>
    </row>
    <row r="648" spans="2:7" ht="12.75">
      <c r="B648" s="157"/>
      <c r="G648" s="158"/>
    </row>
    <row r="649" spans="2:7" ht="12.75">
      <c r="B649" s="157"/>
      <c r="G649" s="158"/>
    </row>
    <row r="650" spans="2:7" ht="12.75">
      <c r="B650" s="157"/>
      <c r="G650" s="158"/>
    </row>
    <row r="651" spans="2:7" ht="12.75">
      <c r="B651" s="157"/>
      <c r="G651" s="158"/>
    </row>
    <row r="652" spans="2:7" ht="12.75">
      <c r="B652" s="157"/>
      <c r="G652" s="158"/>
    </row>
    <row r="653" spans="2:7" ht="12.75">
      <c r="B653" s="157"/>
      <c r="G653" s="158"/>
    </row>
    <row r="654" spans="2:7" ht="12.75">
      <c r="B654" s="157"/>
      <c r="G654" s="158"/>
    </row>
    <row r="655" spans="2:7" ht="12.75">
      <c r="B655" s="157"/>
      <c r="G655" s="158"/>
    </row>
    <row r="656" spans="2:7" ht="12.75">
      <c r="B656" s="157"/>
      <c r="G656" s="158"/>
    </row>
    <row r="657" spans="2:7" ht="12.75">
      <c r="B657" s="157"/>
      <c r="G657" s="158"/>
    </row>
    <row r="658" spans="2:7" ht="12.75">
      <c r="B658" s="157"/>
      <c r="G658" s="158"/>
    </row>
    <row r="659" spans="2:7" ht="12.75">
      <c r="B659" s="157"/>
      <c r="G659" s="158"/>
    </row>
    <row r="660" spans="2:7" ht="12.75">
      <c r="B660" s="157"/>
      <c r="G660" s="158"/>
    </row>
    <row r="661" spans="2:7" ht="12.75">
      <c r="B661" s="157"/>
      <c r="G661" s="158"/>
    </row>
    <row r="662" spans="2:7" ht="12.75">
      <c r="B662" s="157"/>
      <c r="G662" s="158"/>
    </row>
    <row r="663" spans="2:7" ht="12.75">
      <c r="B663" s="157"/>
      <c r="G663" s="158"/>
    </row>
    <row r="664" spans="2:7" ht="12.75">
      <c r="B664" s="157"/>
      <c r="G664" s="158"/>
    </row>
    <row r="665" spans="2:7" ht="12.75">
      <c r="B665" s="157"/>
      <c r="G665" s="158"/>
    </row>
    <row r="666" spans="2:7" ht="12.75">
      <c r="B666" s="157"/>
      <c r="G666" s="158"/>
    </row>
    <row r="667" spans="2:7" ht="12.75">
      <c r="B667" s="157"/>
      <c r="G667" s="158"/>
    </row>
    <row r="668" spans="2:7" ht="12.75">
      <c r="B668" s="157"/>
      <c r="G668" s="158"/>
    </row>
    <row r="669" spans="2:7" ht="12.75">
      <c r="B669" s="157"/>
      <c r="G669" s="158"/>
    </row>
    <row r="670" spans="2:7" ht="12.75">
      <c r="B670" s="157"/>
      <c r="G670" s="158"/>
    </row>
    <row r="671" spans="2:7" ht="12.75">
      <c r="B671" s="157"/>
      <c r="G671" s="158"/>
    </row>
    <row r="672" spans="2:7" ht="12.75">
      <c r="B672" s="157"/>
      <c r="G672" s="158"/>
    </row>
    <row r="673" spans="2:7" ht="12.75">
      <c r="B673" s="157"/>
      <c r="G673" s="158"/>
    </row>
    <row r="674" spans="2:7" ht="12.75">
      <c r="B674" s="157"/>
      <c r="G674" s="158"/>
    </row>
    <row r="675" spans="2:7" ht="12.75">
      <c r="B675" s="157"/>
      <c r="G675" s="158"/>
    </row>
    <row r="676" spans="2:7" ht="12.75">
      <c r="B676" s="157"/>
      <c r="G676" s="158"/>
    </row>
    <row r="677" spans="2:7" ht="12.75">
      <c r="B677" s="157"/>
      <c r="G677" s="158"/>
    </row>
    <row r="678" spans="2:7" ht="12.75">
      <c r="B678" s="157"/>
      <c r="G678" s="158"/>
    </row>
    <row r="679" spans="2:7" ht="12.75">
      <c r="B679" s="157"/>
      <c r="G679" s="158"/>
    </row>
    <row r="680" spans="2:7" ht="12.75">
      <c r="B680" s="157"/>
      <c r="G680" s="158"/>
    </row>
    <row r="681" spans="2:7" ht="12.75">
      <c r="B681" s="157"/>
      <c r="G681" s="158"/>
    </row>
    <row r="682" spans="2:7" ht="12.75">
      <c r="B682" s="157"/>
      <c r="G682" s="158"/>
    </row>
    <row r="683" spans="2:7" ht="12.75">
      <c r="B683" s="157"/>
      <c r="G683" s="158"/>
    </row>
    <row r="684" spans="2:7" ht="12.75">
      <c r="B684" s="157"/>
      <c r="G684" s="158"/>
    </row>
    <row r="685" spans="2:7" ht="12.75">
      <c r="B685" s="157"/>
      <c r="G685" s="158"/>
    </row>
    <row r="686" spans="2:7" ht="12.75">
      <c r="B686" s="157"/>
      <c r="G686" s="158"/>
    </row>
    <row r="687" spans="2:7" ht="12.75">
      <c r="B687" s="157"/>
      <c r="G687" s="158"/>
    </row>
    <row r="688" spans="2:7" ht="12.75">
      <c r="B688" s="157"/>
      <c r="G688" s="158"/>
    </row>
    <row r="689" spans="2:7" ht="12.75">
      <c r="B689" s="157"/>
      <c r="G689" s="158"/>
    </row>
    <row r="690" spans="2:7" ht="12.75">
      <c r="B690" s="157"/>
      <c r="G690" s="158"/>
    </row>
    <row r="691" spans="2:7" ht="12.75">
      <c r="B691" s="157"/>
      <c r="G691" s="158"/>
    </row>
    <row r="692" spans="2:7" ht="12.75">
      <c r="B692" s="157"/>
      <c r="G692" s="158"/>
    </row>
    <row r="693" spans="2:7" ht="12.75">
      <c r="B693" s="157"/>
      <c r="G693" s="158"/>
    </row>
    <row r="694" spans="2:7" ht="12.75">
      <c r="B694" s="157"/>
      <c r="G694" s="158"/>
    </row>
    <row r="695" spans="2:7" ht="12.75">
      <c r="B695" s="157"/>
      <c r="G695" s="158"/>
    </row>
    <row r="696" spans="2:7" ht="12.75">
      <c r="B696" s="157"/>
      <c r="G696" s="158"/>
    </row>
    <row r="697" spans="2:7" ht="12.75">
      <c r="B697" s="157"/>
      <c r="G697" s="158"/>
    </row>
    <row r="698" spans="2:7" ht="12.75">
      <c r="B698" s="157"/>
      <c r="G698" s="158"/>
    </row>
    <row r="699" spans="2:7" ht="12.75">
      <c r="B699" s="157"/>
      <c r="G699" s="158"/>
    </row>
    <row r="700" spans="2:7" ht="12.75">
      <c r="B700" s="157"/>
      <c r="G700" s="158"/>
    </row>
    <row r="701" spans="2:7" ht="12.75">
      <c r="B701" s="157"/>
      <c r="G701" s="158"/>
    </row>
    <row r="702" spans="2:7" ht="12.75">
      <c r="B702" s="157"/>
      <c r="G702" s="158"/>
    </row>
    <row r="703" spans="2:7" ht="12.75">
      <c r="B703" s="157"/>
      <c r="G703" s="158"/>
    </row>
    <row r="704" spans="2:7" ht="12.75">
      <c r="B704" s="157"/>
      <c r="G704" s="158"/>
    </row>
    <row r="705" spans="2:7" ht="12.75">
      <c r="B705" s="157"/>
      <c r="G705" s="158"/>
    </row>
    <row r="706" spans="2:7" ht="12.75">
      <c r="B706" s="157"/>
      <c r="G706" s="158"/>
    </row>
    <row r="707" spans="2:7" ht="12.75">
      <c r="B707" s="157"/>
      <c r="G707" s="158"/>
    </row>
    <row r="708" spans="2:7" ht="12.75">
      <c r="B708" s="157"/>
      <c r="G708" s="158"/>
    </row>
    <row r="709" spans="2:7" ht="12.75">
      <c r="B709" s="157"/>
      <c r="G709" s="158"/>
    </row>
    <row r="710" spans="2:7" ht="12.75">
      <c r="B710" s="157"/>
      <c r="G710" s="158"/>
    </row>
    <row r="711" spans="2:7" ht="12.75">
      <c r="B711" s="157"/>
      <c r="G711" s="158"/>
    </row>
    <row r="712" spans="2:7" ht="12.75">
      <c r="B712" s="157"/>
      <c r="G712" s="158"/>
    </row>
    <row r="713" spans="2:7" ht="12.75">
      <c r="B713" s="157"/>
      <c r="G713" s="158"/>
    </row>
    <row r="714" spans="2:7" ht="12.75">
      <c r="B714" s="157"/>
      <c r="G714" s="158"/>
    </row>
    <row r="715" spans="2:7" ht="12.75">
      <c r="B715" s="157"/>
      <c r="G715" s="158"/>
    </row>
    <row r="716" spans="2:7" ht="12.75">
      <c r="B716" s="157"/>
      <c r="G716" s="158"/>
    </row>
    <row r="717" spans="2:7" ht="12.75">
      <c r="B717" s="157"/>
      <c r="G717" s="158"/>
    </row>
    <row r="718" spans="2:7" ht="12.75">
      <c r="B718" s="157"/>
      <c r="G718" s="158"/>
    </row>
    <row r="719" spans="2:7" ht="12.75">
      <c r="B719" s="157"/>
      <c r="G719" s="158"/>
    </row>
    <row r="720" spans="2:7" ht="12.75">
      <c r="B720" s="157"/>
      <c r="G720" s="158"/>
    </row>
    <row r="721" spans="2:7" ht="12.75">
      <c r="B721" s="157"/>
      <c r="G721" s="158"/>
    </row>
    <row r="722" spans="2:7" ht="12.75">
      <c r="B722" s="157"/>
      <c r="G722" s="158"/>
    </row>
    <row r="723" spans="2:7" ht="12.75">
      <c r="B723" s="157"/>
      <c r="G723" s="158"/>
    </row>
    <row r="724" spans="2:7" ht="12.75">
      <c r="B724" s="157"/>
      <c r="G724" s="158"/>
    </row>
    <row r="725" spans="2:7" ht="12.75">
      <c r="B725" s="157"/>
      <c r="G725" s="158"/>
    </row>
    <row r="726" spans="2:7" ht="12.75">
      <c r="B726" s="157"/>
      <c r="G726" s="158"/>
    </row>
    <row r="727" spans="2:7" ht="12.75">
      <c r="B727" s="157"/>
      <c r="G727" s="158"/>
    </row>
    <row r="728" spans="2:7" ht="12.75">
      <c r="B728" s="157"/>
      <c r="G728" s="158"/>
    </row>
    <row r="729" spans="2:7" ht="12.75">
      <c r="B729" s="157"/>
      <c r="G729" s="158"/>
    </row>
    <row r="730" spans="2:7" ht="12.75">
      <c r="B730" s="157"/>
      <c r="G730" s="158"/>
    </row>
    <row r="731" spans="2:7" ht="12.75">
      <c r="B731" s="157"/>
      <c r="G731" s="158"/>
    </row>
    <row r="732" spans="2:7" ht="12.75">
      <c r="B732" s="157"/>
      <c r="G732" s="158"/>
    </row>
    <row r="733" spans="2:7" ht="12.75">
      <c r="B733" s="157"/>
      <c r="G733" s="158"/>
    </row>
    <row r="734" spans="2:7" ht="12.75">
      <c r="B734" s="157"/>
      <c r="G734" s="158"/>
    </row>
    <row r="735" spans="2:7" ht="12.75">
      <c r="B735" s="157"/>
      <c r="G735" s="158"/>
    </row>
    <row r="736" spans="2:7" ht="12.75">
      <c r="B736" s="157"/>
      <c r="G736" s="158"/>
    </row>
    <row r="737" spans="2:7" ht="12.75">
      <c r="B737" s="157"/>
      <c r="G737" s="158"/>
    </row>
    <row r="738" spans="2:7" ht="12.75">
      <c r="B738" s="157"/>
      <c r="G738" s="158"/>
    </row>
    <row r="739" spans="2:7" ht="12.75">
      <c r="B739" s="157"/>
      <c r="G739" s="158"/>
    </row>
    <row r="740" spans="2:7" ht="12.75">
      <c r="B740" s="157"/>
      <c r="G740" s="158"/>
    </row>
    <row r="741" spans="2:7" ht="12.75">
      <c r="B741" s="157"/>
      <c r="G741" s="158"/>
    </row>
    <row r="742" spans="2:7" ht="12.75">
      <c r="B742" s="157"/>
      <c r="G742" s="158"/>
    </row>
    <row r="743" spans="2:7" ht="12.75">
      <c r="B743" s="157"/>
      <c r="G743" s="158"/>
    </row>
    <row r="744" spans="2:7" ht="12.75">
      <c r="B744" s="157"/>
      <c r="G744" s="158"/>
    </row>
    <row r="745" spans="2:7" ht="12.75">
      <c r="B745" s="157"/>
      <c r="G745" s="158"/>
    </row>
    <row r="746" spans="2:7" ht="12.75">
      <c r="B746" s="157"/>
      <c r="G746" s="158"/>
    </row>
    <row r="747" spans="2:7" ht="12.75">
      <c r="B747" s="157"/>
      <c r="G747" s="158"/>
    </row>
    <row r="748" spans="2:7" ht="12.75">
      <c r="B748" s="157"/>
      <c r="G748" s="158"/>
    </row>
    <row r="749" spans="2:7" ht="12.75">
      <c r="B749" s="157"/>
      <c r="G749" s="158"/>
    </row>
    <row r="750" spans="2:7" ht="12.75">
      <c r="B750" s="157"/>
      <c r="G750" s="158"/>
    </row>
    <row r="751" spans="2:7" ht="12.75">
      <c r="B751" s="157"/>
      <c r="G751" s="158"/>
    </row>
    <row r="752" spans="2:7" ht="12.75">
      <c r="B752" s="157"/>
      <c r="G752" s="158"/>
    </row>
    <row r="753" spans="2:7" ht="12.75">
      <c r="B753" s="157"/>
      <c r="G753" s="158"/>
    </row>
    <row r="754" spans="2:7" ht="12.75">
      <c r="B754" s="157"/>
      <c r="G754" s="158"/>
    </row>
    <row r="755" spans="2:7" ht="12.75">
      <c r="B755" s="157"/>
      <c r="G755" s="158"/>
    </row>
    <row r="756" spans="2:7" ht="12.75">
      <c r="B756" s="157"/>
      <c r="G756" s="158"/>
    </row>
    <row r="757" spans="2:7" ht="12.75">
      <c r="B757" s="157"/>
      <c r="G757" s="158"/>
    </row>
    <row r="758" spans="2:7" ht="12.75">
      <c r="B758" s="157"/>
      <c r="G758" s="158"/>
    </row>
    <row r="759" spans="2:7" ht="12.75">
      <c r="B759" s="157"/>
      <c r="G759" s="158"/>
    </row>
    <row r="760" spans="2:7" ht="12.75">
      <c r="B760" s="157"/>
      <c r="G760" s="158"/>
    </row>
    <row r="761" spans="2:7" ht="12.75">
      <c r="B761" s="157"/>
      <c r="G761" s="158"/>
    </row>
    <row r="762" spans="2:7" ht="12.75">
      <c r="B762" s="157"/>
      <c r="G762" s="158"/>
    </row>
    <row r="763" spans="2:7" ht="12.75">
      <c r="B763" s="157"/>
      <c r="G763" s="158"/>
    </row>
    <row r="764" spans="2:7" ht="12.75">
      <c r="B764" s="157"/>
      <c r="G764" s="158"/>
    </row>
    <row r="765" spans="2:7" ht="12.75">
      <c r="B765" s="157"/>
      <c r="G765" s="158"/>
    </row>
    <row r="766" spans="2:7" ht="12.75">
      <c r="B766" s="157"/>
      <c r="G766" s="158"/>
    </row>
    <row r="767" spans="2:7" ht="12.75">
      <c r="B767" s="157"/>
      <c r="G767" s="158"/>
    </row>
    <row r="768" spans="2:7" ht="12.75">
      <c r="B768" s="157"/>
      <c r="G768" s="158"/>
    </row>
    <row r="769" spans="2:7" ht="12.75">
      <c r="B769" s="157"/>
      <c r="G769" s="158"/>
    </row>
    <row r="770" spans="2:7" ht="12.75">
      <c r="B770" s="157"/>
      <c r="G770" s="158"/>
    </row>
    <row r="771" spans="2:7" ht="12.75">
      <c r="B771" s="157"/>
      <c r="G771" s="158"/>
    </row>
    <row r="772" spans="2:7" ht="12.75">
      <c r="B772" s="157"/>
      <c r="G772" s="158"/>
    </row>
    <row r="773" spans="2:7" ht="12.75">
      <c r="B773" s="157"/>
      <c r="G773" s="158"/>
    </row>
    <row r="774" spans="2:7" ht="12.75">
      <c r="B774" s="157"/>
      <c r="G774" s="158"/>
    </row>
    <row r="775" spans="2:7" ht="12.75">
      <c r="B775" s="157"/>
      <c r="G775" s="158"/>
    </row>
    <row r="776" spans="2:7" ht="12.75">
      <c r="B776" s="157"/>
      <c r="G776" s="158"/>
    </row>
    <row r="777" spans="2:7" ht="12.75">
      <c r="B777" s="157"/>
      <c r="G777" s="158"/>
    </row>
    <row r="778" spans="2:7" ht="12.75">
      <c r="B778" s="157"/>
      <c r="G778" s="158"/>
    </row>
    <row r="779" spans="2:7" ht="12.75">
      <c r="B779" s="157"/>
      <c r="G779" s="158"/>
    </row>
    <row r="780" spans="2:7" ht="12.75">
      <c r="B780" s="157"/>
      <c r="G780" s="158"/>
    </row>
    <row r="781" spans="2:7" ht="12.75">
      <c r="B781" s="157"/>
      <c r="G781" s="158"/>
    </row>
    <row r="782" spans="2:7" ht="12.75">
      <c r="B782" s="157"/>
      <c r="G782" s="158"/>
    </row>
    <row r="783" spans="2:7" ht="12.75">
      <c r="B783" s="157"/>
      <c r="G783" s="158"/>
    </row>
    <row r="784" spans="2:7" ht="12.75">
      <c r="B784" s="157"/>
      <c r="G784" s="158"/>
    </row>
    <row r="785" spans="2:7" ht="12.75">
      <c r="B785" s="157"/>
      <c r="G785" s="158"/>
    </row>
    <row r="786" spans="2:7" ht="12.75">
      <c r="B786" s="157"/>
      <c r="G786" s="158"/>
    </row>
    <row r="787" spans="2:7" ht="12.75">
      <c r="B787" s="157"/>
      <c r="G787" s="158"/>
    </row>
    <row r="788" spans="2:7" ht="12.75">
      <c r="B788" s="157"/>
      <c r="G788" s="158"/>
    </row>
    <row r="789" spans="2:7" ht="12.75">
      <c r="B789" s="157"/>
      <c r="G789" s="158"/>
    </row>
    <row r="790" spans="2:7" ht="12.75">
      <c r="B790" s="157"/>
      <c r="G790" s="158"/>
    </row>
    <row r="791" spans="2:7" ht="12.75">
      <c r="B791" s="157"/>
      <c r="G791" s="158"/>
    </row>
    <row r="792" spans="2:7" ht="12.75">
      <c r="B792" s="157"/>
      <c r="G792" s="158"/>
    </row>
    <row r="793" spans="2:7" ht="12.75">
      <c r="B793" s="157"/>
      <c r="G793" s="158"/>
    </row>
    <row r="794" spans="2:7" ht="12.75">
      <c r="B794" s="157"/>
      <c r="G794" s="158"/>
    </row>
    <row r="795" spans="2:7" ht="12.75">
      <c r="B795" s="157"/>
      <c r="G795" s="158"/>
    </row>
    <row r="796" spans="2:7" ht="12.75">
      <c r="B796" s="157"/>
      <c r="G796" s="158"/>
    </row>
    <row r="797" spans="2:7" ht="12.75">
      <c r="B797" s="157"/>
      <c r="G797" s="158"/>
    </row>
    <row r="798" spans="2:7" ht="12.75">
      <c r="B798" s="157"/>
      <c r="G798" s="158"/>
    </row>
    <row r="799" spans="2:7" ht="12.75">
      <c r="B799" s="157"/>
      <c r="G799" s="158"/>
    </row>
    <row r="800" spans="2:7" ht="12.75">
      <c r="B800" s="157"/>
      <c r="G800" s="158"/>
    </row>
    <row r="801" spans="2:7" ht="12.75">
      <c r="B801" s="157"/>
      <c r="G801" s="158"/>
    </row>
    <row r="802" spans="2:7" ht="12.75">
      <c r="B802" s="157"/>
      <c r="G802" s="158"/>
    </row>
    <row r="803" spans="2:7" ht="12.75">
      <c r="B803" s="157"/>
      <c r="G803" s="158"/>
    </row>
    <row r="804" spans="2:7" ht="12.75">
      <c r="B804" s="157"/>
      <c r="G804" s="158"/>
    </row>
    <row r="805" spans="2:7" ht="12.75">
      <c r="B805" s="157"/>
      <c r="G805" s="158"/>
    </row>
    <row r="806" spans="2:7" ht="12.75">
      <c r="B806" s="157"/>
      <c r="G806" s="158"/>
    </row>
    <row r="807" spans="2:7" ht="12.75">
      <c r="B807" s="157"/>
      <c r="G807" s="158"/>
    </row>
    <row r="808" spans="2:7" ht="12.75">
      <c r="B808" s="157"/>
      <c r="G808" s="158"/>
    </row>
    <row r="809" spans="2:7" ht="12.75">
      <c r="B809" s="157"/>
      <c r="G809" s="158"/>
    </row>
    <row r="810" spans="2:7" ht="12.75">
      <c r="B810" s="157"/>
      <c r="G810" s="158"/>
    </row>
    <row r="811" spans="2:7" ht="12.75">
      <c r="B811" s="157"/>
      <c r="G811" s="158"/>
    </row>
    <row r="812" spans="2:7" ht="12.75">
      <c r="B812" s="157"/>
      <c r="G812" s="158"/>
    </row>
    <row r="813" spans="2:7" ht="12.75">
      <c r="B813" s="157"/>
      <c r="G813" s="158"/>
    </row>
    <row r="814" spans="2:7" ht="12.75">
      <c r="B814" s="157"/>
      <c r="G814" s="158"/>
    </row>
    <row r="815" spans="2:7" ht="12.75">
      <c r="B815" s="157"/>
      <c r="G815" s="158"/>
    </row>
    <row r="816" spans="2:7" ht="12.75">
      <c r="B816" s="157"/>
      <c r="G816" s="158"/>
    </row>
    <row r="817" spans="2:7" ht="12.75">
      <c r="B817" s="157"/>
      <c r="G817" s="158"/>
    </row>
    <row r="818" spans="2:7" ht="12.75">
      <c r="B818" s="157"/>
      <c r="G818" s="158"/>
    </row>
    <row r="819" spans="2:7" ht="12.75">
      <c r="B819" s="157"/>
      <c r="G819" s="158"/>
    </row>
    <row r="820" spans="2:7" ht="12.75">
      <c r="B820" s="157"/>
      <c r="G820" s="158"/>
    </row>
    <row r="821" spans="2:7" ht="12.75">
      <c r="B821" s="157"/>
      <c r="G821" s="158"/>
    </row>
    <row r="822" spans="2:7" ht="12.75">
      <c r="B822" s="157"/>
      <c r="G822" s="158"/>
    </row>
    <row r="823" spans="2:7" ht="12.75">
      <c r="B823" s="157"/>
      <c r="G823" s="158"/>
    </row>
    <row r="824" spans="2:7" ht="12.75">
      <c r="B824" s="157"/>
      <c r="G824" s="158"/>
    </row>
    <row r="825" spans="2:7" ht="12.75">
      <c r="B825" s="157"/>
      <c r="G825" s="158"/>
    </row>
    <row r="826" spans="2:7" ht="12.75">
      <c r="B826" s="157"/>
      <c r="G826" s="158"/>
    </row>
    <row r="827" spans="2:7" ht="12.75">
      <c r="B827" s="157"/>
      <c r="G827" s="158"/>
    </row>
    <row r="828" spans="2:7" ht="12.75">
      <c r="B828" s="157"/>
      <c r="G828" s="158"/>
    </row>
    <row r="829" spans="2:7" ht="12.75">
      <c r="B829" s="157"/>
      <c r="G829" s="158"/>
    </row>
    <row r="830" spans="2:7" ht="12.75">
      <c r="B830" s="157"/>
      <c r="G830" s="158"/>
    </row>
    <row r="831" spans="2:7" ht="12.75">
      <c r="B831" s="157"/>
      <c r="G831" s="158"/>
    </row>
    <row r="832" spans="2:7" ht="12.75">
      <c r="B832" s="157"/>
      <c r="G832" s="158"/>
    </row>
    <row r="833" spans="2:7" ht="12.75">
      <c r="B833" s="157"/>
      <c r="G833" s="158"/>
    </row>
    <row r="834" spans="2:7" ht="12.75">
      <c r="B834" s="157"/>
      <c r="G834" s="158"/>
    </row>
    <row r="835" spans="2:7" ht="12.75">
      <c r="B835" s="157"/>
      <c r="G835" s="158"/>
    </row>
    <row r="836" spans="2:7" ht="12.75">
      <c r="B836" s="157"/>
      <c r="G836" s="158"/>
    </row>
    <row r="837" spans="2:7" ht="12.75">
      <c r="B837" s="157"/>
      <c r="G837" s="158"/>
    </row>
    <row r="838" spans="2:7" ht="12.75">
      <c r="B838" s="157"/>
      <c r="G838" s="158"/>
    </row>
    <row r="839" spans="2:7" ht="12.75">
      <c r="B839" s="157"/>
      <c r="G839" s="158"/>
    </row>
    <row r="840" spans="2:7" ht="12.75">
      <c r="B840" s="157"/>
      <c r="G840" s="158"/>
    </row>
    <row r="841" spans="2:7" ht="12.75">
      <c r="B841" s="157"/>
      <c r="G841" s="158"/>
    </row>
    <row r="842" spans="2:7" ht="12.75">
      <c r="B842" s="157"/>
      <c r="G842" s="158"/>
    </row>
    <row r="843" spans="2:7" ht="12.75">
      <c r="B843" s="157"/>
      <c r="G843" s="158"/>
    </row>
    <row r="844" spans="2:7" ht="12.75">
      <c r="B844" s="157"/>
      <c r="G844" s="158"/>
    </row>
    <row r="845" spans="2:7" ht="12.75">
      <c r="B845" s="157"/>
      <c r="G845" s="158"/>
    </row>
    <row r="846" spans="2:7" ht="12.75">
      <c r="B846" s="157"/>
      <c r="G846" s="158"/>
    </row>
    <row r="847" spans="2:7" ht="12.75">
      <c r="B847" s="157"/>
      <c r="G847" s="158"/>
    </row>
    <row r="848" spans="2:7" ht="12.75">
      <c r="B848" s="157"/>
      <c r="G848" s="158"/>
    </row>
    <row r="849" spans="2:7" ht="12.75">
      <c r="B849" s="157"/>
      <c r="G849" s="158"/>
    </row>
    <row r="850" spans="2:7" ht="12.75">
      <c r="B850" s="157"/>
      <c r="G850" s="158"/>
    </row>
    <row r="851" spans="2:7" ht="12.75">
      <c r="B851" s="157"/>
      <c r="G851" s="158"/>
    </row>
    <row r="852" spans="2:7" ht="12.75">
      <c r="B852" s="157"/>
      <c r="G852" s="158"/>
    </row>
    <row r="853" spans="2:7" ht="12.75">
      <c r="B853" s="157"/>
      <c r="G853" s="158"/>
    </row>
    <row r="854" spans="2:7" ht="12.75">
      <c r="B854" s="157"/>
      <c r="G854" s="158"/>
    </row>
    <row r="855" spans="2:7" ht="12.75">
      <c r="B855" s="157"/>
      <c r="G855" s="158"/>
    </row>
    <row r="856" spans="2:7" ht="12.75">
      <c r="B856" s="157"/>
      <c r="G856" s="158"/>
    </row>
    <row r="857" spans="2:7" ht="12.75">
      <c r="B857" s="157"/>
      <c r="G857" s="158"/>
    </row>
    <row r="858" spans="2:7" ht="12.75">
      <c r="B858" s="157"/>
      <c r="G858" s="158"/>
    </row>
    <row r="859" spans="2:7" ht="12.75">
      <c r="B859" s="157"/>
      <c r="G859" s="158"/>
    </row>
    <row r="860" spans="2:7" ht="12.75">
      <c r="B860" s="157"/>
      <c r="G860" s="158"/>
    </row>
    <row r="861" spans="2:7" ht="12.75">
      <c r="B861" s="157"/>
      <c r="G861" s="158"/>
    </row>
    <row r="862" spans="2:7" ht="12.75">
      <c r="B862" s="157"/>
      <c r="G862" s="158"/>
    </row>
    <row r="863" spans="2:7" ht="12.75">
      <c r="B863" s="157"/>
      <c r="G863" s="158"/>
    </row>
    <row r="864" spans="2:7" ht="12.75">
      <c r="B864" s="157"/>
      <c r="G864" s="158"/>
    </row>
    <row r="865" spans="2:7" ht="12.75">
      <c r="B865" s="157"/>
      <c r="G865" s="158"/>
    </row>
    <row r="866" spans="2:7" ht="12.75">
      <c r="B866" s="157"/>
      <c r="G866" s="158"/>
    </row>
    <row r="867" spans="2:7" ht="12.75">
      <c r="B867" s="157"/>
      <c r="G867" s="158"/>
    </row>
    <row r="868" spans="2:7" ht="12.75">
      <c r="B868" s="157"/>
      <c r="G868" s="158"/>
    </row>
    <row r="869" spans="2:7" ht="12.75">
      <c r="B869" s="157"/>
      <c r="G869" s="158"/>
    </row>
    <row r="870" spans="2:7" ht="12.75">
      <c r="B870" s="157"/>
      <c r="G870" s="158"/>
    </row>
    <row r="871" spans="2:7" ht="12.75">
      <c r="B871" s="157"/>
      <c r="G871" s="158"/>
    </row>
    <row r="872" spans="2:7" ht="12.75">
      <c r="B872" s="157"/>
      <c r="G872" s="158"/>
    </row>
    <row r="873" spans="2:7" ht="12.75">
      <c r="B873" s="157"/>
      <c r="G873" s="158"/>
    </row>
    <row r="874" spans="2:7" ht="12.75">
      <c r="B874" s="157"/>
      <c r="G874" s="158"/>
    </row>
    <row r="875" spans="2:7" ht="12.75">
      <c r="B875" s="157"/>
      <c r="G875" s="158"/>
    </row>
    <row r="876" spans="2:7" ht="12.75">
      <c r="B876" s="157"/>
      <c r="G876" s="158"/>
    </row>
    <row r="877" spans="2:7" ht="12.75">
      <c r="B877" s="157"/>
      <c r="G877" s="158"/>
    </row>
    <row r="878" spans="2:7" ht="12.75">
      <c r="B878" s="157"/>
      <c r="G878" s="158"/>
    </row>
    <row r="879" spans="2:7" ht="12.75">
      <c r="B879" s="157"/>
      <c r="G879" s="158"/>
    </row>
    <row r="880" spans="2:7" ht="12.75">
      <c r="B880" s="157"/>
      <c r="G880" s="158"/>
    </row>
    <row r="881" spans="2:7" ht="12.75">
      <c r="B881" s="157"/>
      <c r="G881" s="158"/>
    </row>
    <row r="882" spans="2:7" ht="12.75">
      <c r="B882" s="157"/>
      <c r="G882" s="158"/>
    </row>
    <row r="883" spans="2:7" ht="12.75">
      <c r="B883" s="157"/>
      <c r="G883" s="158"/>
    </row>
    <row r="884" spans="2:7" ht="12.75">
      <c r="B884" s="157"/>
      <c r="G884" s="158"/>
    </row>
    <row r="885" spans="2:7" ht="12.75">
      <c r="B885" s="157"/>
      <c r="G885" s="158"/>
    </row>
    <row r="886" spans="2:7" ht="12.75">
      <c r="B886" s="157"/>
      <c r="G886" s="158"/>
    </row>
    <row r="887" spans="2:7" ht="12.75">
      <c r="B887" s="157"/>
      <c r="G887" s="158"/>
    </row>
    <row r="888" spans="2:7" ht="12.75">
      <c r="B888" s="157"/>
      <c r="G888" s="158"/>
    </row>
    <row r="889" spans="2:7" ht="12.75">
      <c r="B889" s="157"/>
      <c r="G889" s="158"/>
    </row>
    <row r="890" spans="2:7" ht="12.75">
      <c r="B890" s="157"/>
      <c r="G890" s="158"/>
    </row>
    <row r="891" spans="2:7" ht="12.75">
      <c r="B891" s="157"/>
      <c r="G891" s="158"/>
    </row>
    <row r="892" spans="2:7" ht="12.75">
      <c r="B892" s="157"/>
      <c r="G892" s="158"/>
    </row>
    <row r="893" spans="2:7" ht="12.75">
      <c r="B893" s="157"/>
      <c r="G893" s="158"/>
    </row>
    <row r="894" spans="2:7" ht="12.75">
      <c r="B894" s="157"/>
      <c r="G894" s="158"/>
    </row>
    <row r="895" spans="2:7" ht="12.75">
      <c r="B895" s="157"/>
      <c r="G895" s="158"/>
    </row>
    <row r="896" spans="2:7" ht="12.75">
      <c r="B896" s="157"/>
      <c r="G896" s="158"/>
    </row>
    <row r="897" spans="2:7" ht="12.75">
      <c r="B897" s="157"/>
      <c r="G897" s="158"/>
    </row>
    <row r="898" spans="2:7" ht="12.75">
      <c r="B898" s="157"/>
      <c r="G898" s="158"/>
    </row>
    <row r="899" spans="2:7" ht="12.75">
      <c r="B899" s="157"/>
      <c r="G899" s="158"/>
    </row>
    <row r="900" spans="2:7" ht="12.75">
      <c r="B900" s="157"/>
      <c r="G900" s="158"/>
    </row>
    <row r="901" spans="2:7" ht="12.75">
      <c r="B901" s="157"/>
      <c r="G901" s="158"/>
    </row>
    <row r="902" spans="2:7" ht="12.75">
      <c r="B902" s="157"/>
      <c r="G902" s="158"/>
    </row>
    <row r="903" spans="2:7" ht="12.75">
      <c r="B903" s="157"/>
      <c r="G903" s="158"/>
    </row>
    <row r="904" spans="2:7" ht="12.75">
      <c r="B904" s="157"/>
      <c r="G904" s="158"/>
    </row>
    <row r="905" spans="2:7" ht="12.75">
      <c r="B905" s="157"/>
      <c r="G905" s="158"/>
    </row>
    <row r="906" spans="2:7" ht="12.75">
      <c r="B906" s="157"/>
      <c r="G906" s="158"/>
    </row>
    <row r="907" spans="2:7" ht="12.75">
      <c r="B907" s="157"/>
      <c r="G907" s="158"/>
    </row>
    <row r="908" spans="2:7" ht="12.75">
      <c r="B908" s="157"/>
      <c r="G908" s="158"/>
    </row>
    <row r="909" spans="2:7" ht="12.75">
      <c r="B909" s="157"/>
      <c r="G909" s="158"/>
    </row>
    <row r="910" spans="2:7" ht="12.75">
      <c r="B910" s="157"/>
      <c r="G910" s="158"/>
    </row>
    <row r="911" spans="2:7" ht="12.75">
      <c r="B911" s="157"/>
      <c r="G911" s="158"/>
    </row>
    <row r="912" spans="2:7" ht="12.75">
      <c r="B912" s="157"/>
      <c r="G912" s="158"/>
    </row>
    <row r="913" spans="2:7" ht="12.75">
      <c r="B913" s="157"/>
      <c r="G913" s="158"/>
    </row>
    <row r="914" spans="2:7" ht="12.75">
      <c r="B914" s="157"/>
      <c r="G914" s="158"/>
    </row>
    <row r="915" spans="2:7" ht="12.75">
      <c r="B915" s="157"/>
      <c r="G915" s="158"/>
    </row>
    <row r="916" spans="2:7" ht="12.75">
      <c r="B916" s="157"/>
      <c r="G916" s="158"/>
    </row>
    <row r="917" spans="2:7" ht="12.75">
      <c r="B917" s="157"/>
      <c r="G917" s="158"/>
    </row>
    <row r="918" spans="2:7" ht="12.75">
      <c r="B918" s="157"/>
      <c r="G918" s="158"/>
    </row>
    <row r="919" spans="2:7" ht="12.75">
      <c r="B919" s="157"/>
      <c r="G919" s="158"/>
    </row>
    <row r="920" spans="2:7" ht="12.75">
      <c r="B920" s="157"/>
      <c r="G920" s="158"/>
    </row>
    <row r="921" spans="2:7" ht="12.75">
      <c r="B921" s="157"/>
      <c r="G921" s="158"/>
    </row>
    <row r="922" spans="2:7" ht="12.75">
      <c r="B922" s="157"/>
      <c r="G922" s="158"/>
    </row>
    <row r="923" spans="2:7" ht="12.75">
      <c r="B923" s="157"/>
      <c r="G923" s="158"/>
    </row>
    <row r="924" spans="2:7" ht="12.75">
      <c r="B924" s="157"/>
      <c r="G924" s="158"/>
    </row>
    <row r="925" spans="2:7" ht="12.75">
      <c r="B925" s="157"/>
      <c r="G925" s="158"/>
    </row>
    <row r="926" spans="2:7" ht="12.75">
      <c r="B926" s="157"/>
      <c r="G926" s="158"/>
    </row>
    <row r="927" spans="2:7" ht="12.75">
      <c r="B927" s="157"/>
      <c r="G927" s="158"/>
    </row>
    <row r="928" spans="2:7" ht="12.75">
      <c r="B928" s="157"/>
      <c r="G928" s="158"/>
    </row>
    <row r="929" spans="2:7" ht="12.75">
      <c r="B929" s="157"/>
      <c r="G929" s="158"/>
    </row>
    <row r="930" spans="2:7" ht="12.75">
      <c r="B930" s="157"/>
      <c r="G930" s="158"/>
    </row>
    <row r="931" spans="2:7" ht="12.75">
      <c r="B931" s="157"/>
      <c r="G931" s="158"/>
    </row>
    <row r="932" spans="2:7" ht="12.75">
      <c r="B932" s="157"/>
      <c r="G932" s="158"/>
    </row>
    <row r="933" spans="2:7" ht="12.75">
      <c r="B933" s="157"/>
      <c r="G933" s="158"/>
    </row>
    <row r="934" spans="2:7" ht="12.75">
      <c r="B934" s="157"/>
      <c r="G934" s="158"/>
    </row>
    <row r="935" spans="2:7" ht="12.75">
      <c r="B935" s="157"/>
      <c r="G935" s="158"/>
    </row>
    <row r="936" spans="2:7" ht="12.75">
      <c r="B936" s="157"/>
      <c r="G936" s="158"/>
    </row>
    <row r="937" spans="2:7" ht="12.75">
      <c r="B937" s="157"/>
      <c r="G937" s="158"/>
    </row>
    <row r="938" spans="2:7" ht="12.75">
      <c r="B938" s="157"/>
      <c r="G938" s="158"/>
    </row>
    <row r="939" spans="2:7" ht="12.75">
      <c r="B939" s="157"/>
      <c r="G939" s="158"/>
    </row>
    <row r="940" spans="2:7" ht="12.75">
      <c r="B940" s="157"/>
      <c r="G940" s="158"/>
    </row>
    <row r="941" spans="2:7" ht="12.75">
      <c r="B941" s="157"/>
      <c r="G941" s="158"/>
    </row>
    <row r="942" spans="2:7" ht="12.75">
      <c r="B942" s="157"/>
      <c r="G942" s="158"/>
    </row>
    <row r="943" spans="2:7" ht="12.75">
      <c r="B943" s="157"/>
      <c r="G943" s="158"/>
    </row>
    <row r="944" spans="2:7" ht="12.75">
      <c r="B944" s="157"/>
      <c r="G944" s="158"/>
    </row>
    <row r="945" spans="2:7" ht="12.75">
      <c r="B945" s="157"/>
      <c r="G945" s="158"/>
    </row>
    <row r="946" spans="2:7" ht="12.75">
      <c r="B946" s="157"/>
      <c r="G946" s="158"/>
    </row>
    <row r="947" spans="2:7" ht="12.75">
      <c r="B947" s="157"/>
      <c r="G947" s="158"/>
    </row>
    <row r="948" spans="2:7" ht="12.75">
      <c r="B948" s="157"/>
      <c r="G948" s="158"/>
    </row>
    <row r="949" spans="2:7" ht="12.75">
      <c r="B949" s="157"/>
      <c r="G949" s="158"/>
    </row>
    <row r="950" spans="2:7" ht="12.75">
      <c r="B950" s="157"/>
      <c r="G950" s="158"/>
    </row>
    <row r="951" spans="2:7" ht="12.75">
      <c r="B951" s="157"/>
      <c r="G951" s="158"/>
    </row>
    <row r="952" spans="2:7" ht="12.75">
      <c r="B952" s="157"/>
      <c r="G952" s="158"/>
    </row>
    <row r="953" spans="2:7" ht="12.75">
      <c r="B953" s="157"/>
      <c r="G953" s="158"/>
    </row>
    <row r="954" spans="2:7" ht="12.75">
      <c r="B954" s="157"/>
      <c r="G954" s="158"/>
    </row>
    <row r="955" spans="2:7" ht="12.75">
      <c r="B955" s="157"/>
      <c r="G955" s="158"/>
    </row>
    <row r="956" spans="2:7" ht="12.75">
      <c r="B956" s="157"/>
      <c r="G956" s="158"/>
    </row>
    <row r="957" spans="2:7" ht="12.75">
      <c r="B957" s="157"/>
      <c r="G957" s="158"/>
    </row>
    <row r="958" spans="2:7" ht="12.75">
      <c r="B958" s="157"/>
      <c r="G958" s="158"/>
    </row>
    <row r="959" spans="2:7" ht="12.75">
      <c r="B959" s="157"/>
      <c r="G959" s="158"/>
    </row>
    <row r="960" spans="2:7" ht="12.75">
      <c r="B960" s="157"/>
      <c r="G960" s="158"/>
    </row>
    <row r="961" spans="2:7" ht="12.75">
      <c r="B961" s="157"/>
      <c r="G961" s="158"/>
    </row>
    <row r="962" spans="2:7" ht="12.75">
      <c r="B962" s="157"/>
      <c r="G962" s="158"/>
    </row>
    <row r="963" spans="2:7" ht="12.75">
      <c r="B963" s="157"/>
      <c r="G963" s="158"/>
    </row>
    <row r="964" spans="2:7" ht="12.75">
      <c r="B964" s="157"/>
      <c r="G964" s="158"/>
    </row>
    <row r="965" spans="2:7" ht="12.75">
      <c r="B965" s="157"/>
      <c r="G965" s="158"/>
    </row>
    <row r="966" spans="2:7" ht="12.75">
      <c r="B966" s="157"/>
      <c r="G966" s="158"/>
    </row>
    <row r="967" spans="2:7" ht="12.75">
      <c r="B967" s="157"/>
      <c r="G967" s="158"/>
    </row>
    <row r="968" spans="2:7" ht="12.75">
      <c r="B968" s="157"/>
      <c r="G968" s="158"/>
    </row>
    <row r="969" spans="2:7" ht="12.75">
      <c r="B969" s="157"/>
      <c r="G969" s="158"/>
    </row>
    <row r="970" spans="2:7" ht="12.75">
      <c r="B970" s="157"/>
      <c r="G970" s="158"/>
    </row>
    <row r="971" spans="2:7" ht="12.75">
      <c r="B971" s="157"/>
      <c r="G971" s="158"/>
    </row>
    <row r="972" spans="2:7" ht="12.75">
      <c r="B972" s="157"/>
      <c r="G972" s="158"/>
    </row>
    <row r="973" spans="2:7" ht="12.75">
      <c r="B973" s="157"/>
      <c r="G973" s="158"/>
    </row>
    <row r="974" spans="2:7" ht="12.75">
      <c r="B974" s="157"/>
      <c r="G974" s="158"/>
    </row>
    <row r="975" spans="2:7" ht="12.75">
      <c r="B975" s="157"/>
      <c r="G975" s="158"/>
    </row>
    <row r="976" spans="2:7" ht="12.75">
      <c r="B976" s="157"/>
      <c r="G976" s="158"/>
    </row>
    <row r="977" spans="2:7" ht="12.75">
      <c r="B977" s="157"/>
      <c r="G977" s="158"/>
    </row>
    <row r="978" spans="2:7" ht="12.75">
      <c r="B978" s="157"/>
      <c r="G978" s="158"/>
    </row>
    <row r="979" spans="2:7" ht="12.75">
      <c r="B979" s="157"/>
      <c r="G979" s="158"/>
    </row>
    <row r="980" spans="2:7" ht="12.75">
      <c r="B980" s="157"/>
      <c r="G980" s="158"/>
    </row>
  </sheetData>
  <autoFilter ref="A1:G40" xr:uid="{00000000-0009-0000-0000-000002000000}"/>
  <customSheetViews>
    <customSheetView guid="{8F4ACF9E-E030-4868-93B2-D234B9835EAD}" filter="1" showAutoFilter="1">
      <pageMargins left="0.7" right="0.7" top="0.75" bottom="0.75" header="0.3" footer="0.3"/>
      <autoFilter ref="A1:G44" xr:uid="{E62E2B7A-5480-4262-A960-3DC633BF5EBB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Tall Firs</vt:lpstr>
      <vt:lpstr>Alumni Fund</vt:lpstr>
      <vt:lpstr>All 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Hull</cp:lastModifiedBy>
  <dcterms:modified xsi:type="dcterms:W3CDTF">2026-06-27T00:22:18Z</dcterms:modified>
</cp:coreProperties>
</file>